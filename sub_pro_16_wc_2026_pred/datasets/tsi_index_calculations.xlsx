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sports_data_sci\sub_pro_16_wc_2026_pred\datasets\"/>
    </mc:Choice>
  </mc:AlternateContent>
  <xr:revisionPtr revIDLastSave="0" documentId="8_{5F9CADBF-A0E9-4A16-A83E-73FC058596F2}" xr6:coauthVersionLast="47" xr6:coauthVersionMax="47" xr10:uidLastSave="{00000000-0000-0000-0000-000000000000}"/>
  <bookViews>
    <workbookView xWindow="-110" yWindow="-110" windowWidth="19420" windowHeight="10420" tabRatio="306" xr2:uid="{A4D63FEC-C47C-4B30-99D9-5AC0030064B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6" i="1" l="1"/>
  <c r="BA46" i="1"/>
  <c r="BA42" i="1"/>
  <c r="BA38" i="1"/>
  <c r="BA34" i="1"/>
  <c r="BA30" i="1"/>
  <c r="BA26" i="1"/>
  <c r="BA22" i="1"/>
  <c r="BA18" i="1"/>
  <c r="BA14" i="1"/>
  <c r="BA10" i="1"/>
  <c r="BA2" i="1"/>
</calcChain>
</file>

<file path=xl/sharedStrings.xml><?xml version="1.0" encoding="utf-8"?>
<sst xmlns="http://schemas.openxmlformats.org/spreadsheetml/2006/main" count="271" uniqueCount="65">
  <si>
    <t>country</t>
  </si>
  <si>
    <t>group</t>
  </si>
  <si>
    <t>tsi</t>
  </si>
  <si>
    <t>Mexico</t>
  </si>
  <si>
    <t>A</t>
  </si>
  <si>
    <t>South Africa</t>
  </si>
  <si>
    <t>South Korea</t>
  </si>
  <si>
    <t>Czechia</t>
  </si>
  <si>
    <t>Canada</t>
  </si>
  <si>
    <t>B</t>
  </si>
  <si>
    <t>Bosnia-Herzegovina</t>
  </si>
  <si>
    <t>Qatar</t>
  </si>
  <si>
    <t>Switzerland</t>
  </si>
  <si>
    <t>Brazil</t>
  </si>
  <si>
    <t>C</t>
  </si>
  <si>
    <t>Morocco</t>
  </si>
  <si>
    <t>Haiti</t>
  </si>
  <si>
    <t>Scotland</t>
  </si>
  <si>
    <t>USA</t>
  </si>
  <si>
    <t>D</t>
  </si>
  <si>
    <t>Paraguay</t>
  </si>
  <si>
    <t>Australia</t>
  </si>
  <si>
    <t>Turkiye</t>
  </si>
  <si>
    <t>Germany</t>
  </si>
  <si>
    <t>E</t>
  </si>
  <si>
    <t>Curacao</t>
  </si>
  <si>
    <t>Ivory Coast</t>
  </si>
  <si>
    <t>Ecuador</t>
  </si>
  <si>
    <t>Netherlands</t>
  </si>
  <si>
    <t>F</t>
  </si>
  <si>
    <t>Japan</t>
  </si>
  <si>
    <t>Sweden</t>
  </si>
  <si>
    <t>Tunisia</t>
  </si>
  <si>
    <t>Belgium</t>
  </si>
  <si>
    <t>G</t>
  </si>
  <si>
    <t>Egypt</t>
  </si>
  <si>
    <t>Iran</t>
  </si>
  <si>
    <t>New Zealand</t>
  </si>
  <si>
    <t>Spain</t>
  </si>
  <si>
    <t>H</t>
  </si>
  <si>
    <t>Cabo Verde</t>
  </si>
  <si>
    <t>Saudi Arabia</t>
  </si>
  <si>
    <t>Uruguay</t>
  </si>
  <si>
    <t>France</t>
  </si>
  <si>
    <t>I</t>
  </si>
  <si>
    <t>Senegal</t>
  </si>
  <si>
    <t>Iraq</t>
  </si>
  <si>
    <t>Norway</t>
  </si>
  <si>
    <t>Argentina</t>
  </si>
  <si>
    <t>J</t>
  </si>
  <si>
    <t>Algeria</t>
  </si>
  <si>
    <t>Austria</t>
  </si>
  <si>
    <t>Jordan</t>
  </si>
  <si>
    <t>Portugal</t>
  </si>
  <si>
    <t>K</t>
  </si>
  <si>
    <t>DR Congo</t>
  </si>
  <si>
    <t>Uzbekistan</t>
  </si>
  <si>
    <t>Colombia</t>
  </si>
  <si>
    <t>England</t>
  </si>
  <si>
    <t>L</t>
  </si>
  <si>
    <t>Croatia</t>
  </si>
  <si>
    <t>Ghana</t>
  </si>
  <si>
    <t>Panama</t>
  </si>
  <si>
    <t>average tsi per group</t>
  </si>
  <si>
    <t>Best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</si>
</sst>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2110-3E61-4806-A69F-8F6D5E880FE2}">
  <dimension ref="A1:BE49"/>
  <sheetViews>
    <sheetView tabSelected="1" topLeftCell="AN1" workbookViewId="0">
      <selection activeCell="BE1" sqref="BE1:BE1048576"/>
    </sheetView>
  </sheetViews>
  <sheetFormatPr defaultRowHeight="14.5" x14ac:dyDescent="0.35"/>
  <sheetData>
    <row r="1" spans="1:57" x14ac:dyDescent="0.35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  <c r="I1" s="1" t="s">
        <v>0</v>
      </c>
      <c r="J1" s="1" t="s">
        <v>1</v>
      </c>
      <c r="K1" s="1" t="s">
        <v>2</v>
      </c>
      <c r="M1" s="1" t="s">
        <v>0</v>
      </c>
      <c r="N1" s="1" t="s">
        <v>1</v>
      </c>
      <c r="O1" s="1" t="s">
        <v>2</v>
      </c>
      <c r="Q1" s="1" t="s">
        <v>0</v>
      </c>
      <c r="R1" s="1" t="s">
        <v>1</v>
      </c>
      <c r="S1" s="1" t="s">
        <v>2</v>
      </c>
      <c r="U1" s="1" t="s">
        <v>0</v>
      </c>
      <c r="V1" s="1" t="s">
        <v>1</v>
      </c>
      <c r="W1" s="1" t="s">
        <v>2</v>
      </c>
      <c r="Y1" s="1" t="s">
        <v>0</v>
      </c>
      <c r="Z1" s="1" t="s">
        <v>1</v>
      </c>
      <c r="AA1" s="1" t="s">
        <v>2</v>
      </c>
      <c r="AC1" s="1" t="s">
        <v>0</v>
      </c>
      <c r="AD1" s="1" t="s">
        <v>1</v>
      </c>
      <c r="AE1" s="1" t="s">
        <v>2</v>
      </c>
      <c r="AG1" s="1" t="s">
        <v>0</v>
      </c>
      <c r="AH1" s="1" t="s">
        <v>1</v>
      </c>
      <c r="AI1" s="1" t="s">
        <v>2</v>
      </c>
      <c r="AK1" s="1" t="s">
        <v>0</v>
      </c>
      <c r="AL1" s="1" t="s">
        <v>1</v>
      </c>
      <c r="AM1" s="1" t="s">
        <v>2</v>
      </c>
      <c r="AO1" s="1" t="s">
        <v>0</v>
      </c>
      <c r="AP1" s="1" t="s">
        <v>1</v>
      </c>
      <c r="AQ1" s="1" t="s">
        <v>2</v>
      </c>
      <c r="AS1" s="1" t="s">
        <v>0</v>
      </c>
      <c r="AT1" s="1" t="s">
        <v>1</v>
      </c>
      <c r="AU1" s="1" t="s">
        <v>2</v>
      </c>
      <c r="AW1" s="1"/>
      <c r="AX1" s="1" t="s">
        <v>0</v>
      </c>
      <c r="AY1" s="1" t="s">
        <v>1</v>
      </c>
      <c r="AZ1" s="1" t="s">
        <v>2</v>
      </c>
      <c r="BA1" s="1" t="s">
        <v>63</v>
      </c>
      <c r="BB1" s="1"/>
      <c r="BC1" s="1"/>
      <c r="BD1" s="5" t="s">
        <v>1</v>
      </c>
      <c r="BE1" s="4" t="s">
        <v>63</v>
      </c>
    </row>
    <row r="2" spans="1:57" x14ac:dyDescent="0.35">
      <c r="A2" t="s">
        <v>3</v>
      </c>
      <c r="B2" t="s">
        <v>4</v>
      </c>
      <c r="C2">
        <v>2.07845382367461E-2</v>
      </c>
      <c r="E2" t="s">
        <v>12</v>
      </c>
      <c r="F2" t="s">
        <v>9</v>
      </c>
      <c r="G2">
        <v>0.34171204928147758</v>
      </c>
      <c r="I2" t="s">
        <v>13</v>
      </c>
      <c r="J2" t="s">
        <v>14</v>
      </c>
      <c r="K2">
        <v>1.163707161080032</v>
      </c>
      <c r="M2" t="s">
        <v>18</v>
      </c>
      <c r="N2" t="s">
        <v>19</v>
      </c>
      <c r="O2">
        <v>0.43417028126742868</v>
      </c>
      <c r="Q2" t="s">
        <v>23</v>
      </c>
      <c r="R2" t="s">
        <v>24</v>
      </c>
      <c r="S2">
        <v>0.91180506046215859</v>
      </c>
      <c r="U2" t="s">
        <v>28</v>
      </c>
      <c r="V2" t="s">
        <v>29</v>
      </c>
      <c r="W2">
        <v>0.86036874617068104</v>
      </c>
      <c r="Y2" t="s">
        <v>33</v>
      </c>
      <c r="Z2" t="s">
        <v>34</v>
      </c>
      <c r="AA2">
        <v>0.49088446275316328</v>
      </c>
      <c r="AC2" t="s">
        <v>38</v>
      </c>
      <c r="AD2" t="s">
        <v>39</v>
      </c>
      <c r="AE2">
        <v>1.706931952570343</v>
      </c>
      <c r="AG2" t="s">
        <v>43</v>
      </c>
      <c r="AH2" t="s">
        <v>44</v>
      </c>
      <c r="AI2">
        <v>1.9937068430243969</v>
      </c>
      <c r="AK2" t="s">
        <v>48</v>
      </c>
      <c r="AL2" t="s">
        <v>49</v>
      </c>
      <c r="AM2">
        <v>1.1055411852282571</v>
      </c>
      <c r="AO2" t="s">
        <v>53</v>
      </c>
      <c r="AP2" t="s">
        <v>54</v>
      </c>
      <c r="AQ2">
        <v>1.171569662991861</v>
      </c>
      <c r="AS2" t="s">
        <v>58</v>
      </c>
      <c r="AT2" t="s">
        <v>59</v>
      </c>
      <c r="AU2">
        <v>1.552263162576021</v>
      </c>
      <c r="AX2" t="s">
        <v>3</v>
      </c>
      <c r="AY2" t="s">
        <v>4</v>
      </c>
      <c r="AZ2">
        <v>2.07845382367461E-2</v>
      </c>
      <c r="BA2">
        <f>AVERAGE(AZ2:AZ5)</f>
        <v>-0.38890137618788612</v>
      </c>
      <c r="BD2" t="s">
        <v>44</v>
      </c>
      <c r="BE2">
        <v>0.49352368505935434</v>
      </c>
    </row>
    <row r="3" spans="1:57" x14ac:dyDescent="0.35">
      <c r="A3" t="s">
        <v>6</v>
      </c>
      <c r="B3" t="s">
        <v>4</v>
      </c>
      <c r="C3">
        <v>-0.27584906337320508</v>
      </c>
      <c r="E3" t="s">
        <v>8</v>
      </c>
      <c r="F3" t="s">
        <v>9</v>
      </c>
      <c r="G3">
        <v>-0.22460844421124229</v>
      </c>
      <c r="I3" t="s">
        <v>15</v>
      </c>
      <c r="J3" t="s">
        <v>14</v>
      </c>
      <c r="K3">
        <v>0.27517578994997138</v>
      </c>
      <c r="M3" t="s">
        <v>22</v>
      </c>
      <c r="N3" t="s">
        <v>19</v>
      </c>
      <c r="O3">
        <v>0.1159185455440597</v>
      </c>
      <c r="Q3" t="s">
        <v>27</v>
      </c>
      <c r="R3" t="s">
        <v>24</v>
      </c>
      <c r="S3">
        <v>9.06810566714083E-2</v>
      </c>
      <c r="U3" t="s">
        <v>30</v>
      </c>
      <c r="V3" t="s">
        <v>29</v>
      </c>
      <c r="W3">
        <v>0.16169767314103001</v>
      </c>
      <c r="Y3" t="s">
        <v>35</v>
      </c>
      <c r="Z3" t="s">
        <v>34</v>
      </c>
      <c r="AA3">
        <v>-0.43301281723523738</v>
      </c>
      <c r="AC3" t="s">
        <v>42</v>
      </c>
      <c r="AD3" t="s">
        <v>39</v>
      </c>
      <c r="AE3">
        <v>0.15877111048263159</v>
      </c>
      <c r="AG3" t="s">
        <v>47</v>
      </c>
      <c r="AH3" t="s">
        <v>44</v>
      </c>
      <c r="AI3">
        <v>0.43942484969301332</v>
      </c>
      <c r="AK3" t="s">
        <v>51</v>
      </c>
      <c r="AL3" t="s">
        <v>49</v>
      </c>
      <c r="AM3">
        <v>-5.0702040115242042E-2</v>
      </c>
      <c r="AO3" t="s">
        <v>57</v>
      </c>
      <c r="AP3" t="s">
        <v>54</v>
      </c>
      <c r="AQ3">
        <v>0.25074541822259389</v>
      </c>
      <c r="AS3" t="s">
        <v>60</v>
      </c>
      <c r="AT3" t="s">
        <v>59</v>
      </c>
      <c r="AU3">
        <v>0.19616885446027929</v>
      </c>
      <c r="AX3" t="s">
        <v>5</v>
      </c>
      <c r="AY3" t="s">
        <v>4</v>
      </c>
      <c r="AZ3">
        <v>-0.85483999143566491</v>
      </c>
      <c r="BD3" t="s">
        <v>59</v>
      </c>
      <c r="BE3">
        <v>0.17619340246527379</v>
      </c>
    </row>
    <row r="4" spans="1:57" x14ac:dyDescent="0.35">
      <c r="A4" s="2" t="s">
        <v>7</v>
      </c>
      <c r="B4" s="2" t="s">
        <v>4</v>
      </c>
      <c r="C4" s="2">
        <v>-0.44570098817942061</v>
      </c>
      <c r="D4" s="2"/>
      <c r="E4" s="2" t="s">
        <v>10</v>
      </c>
      <c r="F4" s="2" t="s">
        <v>9</v>
      </c>
      <c r="G4" s="2">
        <v>-0.69439692216499138</v>
      </c>
      <c r="H4" s="2"/>
      <c r="I4" s="2" t="s">
        <v>17</v>
      </c>
      <c r="J4" s="2" t="s">
        <v>14</v>
      </c>
      <c r="K4" s="2">
        <v>-0.29736121903452628</v>
      </c>
      <c r="L4" s="2"/>
      <c r="M4" s="2" t="s">
        <v>21</v>
      </c>
      <c r="N4" s="2" t="s">
        <v>19</v>
      </c>
      <c r="O4" s="2">
        <v>-0.27784913768618119</v>
      </c>
      <c r="P4" s="2"/>
      <c r="Q4" s="2" t="s">
        <v>26</v>
      </c>
      <c r="R4" s="2" t="s">
        <v>24</v>
      </c>
      <c r="S4" s="2">
        <v>-1.4235665472405871E-3</v>
      </c>
      <c r="T4" s="2"/>
      <c r="U4" s="2" t="s">
        <v>31</v>
      </c>
      <c r="V4" s="2" t="s">
        <v>29</v>
      </c>
      <c r="W4" s="2">
        <v>-9.5314926033794906E-2</v>
      </c>
      <c r="X4" s="2"/>
      <c r="Y4" s="2" t="s">
        <v>36</v>
      </c>
      <c r="Z4" s="2" t="s">
        <v>34</v>
      </c>
      <c r="AA4" s="2">
        <v>-0.4463379108015591</v>
      </c>
      <c r="AB4" s="2"/>
      <c r="AC4" s="2" t="s">
        <v>41</v>
      </c>
      <c r="AD4" s="2" t="s">
        <v>39</v>
      </c>
      <c r="AE4" s="2">
        <v>-0.73945936697980708</v>
      </c>
      <c r="AF4" s="2"/>
      <c r="AG4" s="2" t="s">
        <v>45</v>
      </c>
      <c r="AH4" s="2" t="s">
        <v>44</v>
      </c>
      <c r="AI4" s="2">
        <v>0.24754860543028839</v>
      </c>
      <c r="AJ4" s="2"/>
      <c r="AK4" s="2" t="s">
        <v>50</v>
      </c>
      <c r="AL4" s="2" t="s">
        <v>49</v>
      </c>
      <c r="AM4" s="2">
        <v>-0.18720420936553181</v>
      </c>
      <c r="AN4" s="2"/>
      <c r="AO4" s="2" t="s">
        <v>55</v>
      </c>
      <c r="AP4" s="2" t="s">
        <v>54</v>
      </c>
      <c r="AQ4" s="2">
        <v>-0.41717599736217081</v>
      </c>
      <c r="AR4" s="2"/>
      <c r="AS4" s="2" t="s">
        <v>62</v>
      </c>
      <c r="AT4" s="2" t="s">
        <v>59</v>
      </c>
      <c r="AU4" s="2">
        <v>-0.42564852884742088</v>
      </c>
      <c r="AX4" t="s">
        <v>6</v>
      </c>
      <c r="AY4" t="s">
        <v>4</v>
      </c>
      <c r="AZ4">
        <v>-0.27584906337320508</v>
      </c>
      <c r="BD4" t="s">
        <v>39</v>
      </c>
      <c r="BE4">
        <v>9.4158738761095956E-2</v>
      </c>
    </row>
    <row r="5" spans="1:57" x14ac:dyDescent="0.35">
      <c r="A5" t="s">
        <v>5</v>
      </c>
      <c r="B5" t="s">
        <v>4</v>
      </c>
      <c r="C5">
        <v>-0.85483999143566491</v>
      </c>
      <c r="E5" t="s">
        <v>11</v>
      </c>
      <c r="F5" t="s">
        <v>9</v>
      </c>
      <c r="G5">
        <v>-0.78363219450927801</v>
      </c>
      <c r="I5" t="s">
        <v>16</v>
      </c>
      <c r="J5" t="s">
        <v>14</v>
      </c>
      <c r="K5">
        <v>-0.84267695761420303</v>
      </c>
      <c r="M5" t="s">
        <v>20</v>
      </c>
      <c r="N5" t="s">
        <v>19</v>
      </c>
      <c r="O5">
        <v>-0.30463394711933039</v>
      </c>
      <c r="Q5" t="s">
        <v>25</v>
      </c>
      <c r="R5" t="s">
        <v>24</v>
      </c>
      <c r="S5">
        <v>-0.89194681132931197</v>
      </c>
      <c r="U5" t="s">
        <v>32</v>
      </c>
      <c r="V5" t="s">
        <v>29</v>
      </c>
      <c r="W5">
        <v>-0.64145827902056352</v>
      </c>
      <c r="Y5" t="s">
        <v>37</v>
      </c>
      <c r="Z5" t="s">
        <v>34</v>
      </c>
      <c r="AA5">
        <v>-0.85504875839665961</v>
      </c>
      <c r="AC5" t="s">
        <v>40</v>
      </c>
      <c r="AD5" t="s">
        <v>39</v>
      </c>
      <c r="AE5">
        <v>-0.74960874102878372</v>
      </c>
      <c r="AG5" t="s">
        <v>46</v>
      </c>
      <c r="AH5" t="s">
        <v>44</v>
      </c>
      <c r="AI5">
        <v>-0.7065855579102811</v>
      </c>
      <c r="AK5" t="s">
        <v>52</v>
      </c>
      <c r="AL5" t="s">
        <v>49</v>
      </c>
      <c r="AM5">
        <v>-0.77098332893486832</v>
      </c>
      <c r="AO5" t="s">
        <v>56</v>
      </c>
      <c r="AP5" t="s">
        <v>54</v>
      </c>
      <c r="AQ5">
        <v>-0.65810742567354719</v>
      </c>
      <c r="AS5" t="s">
        <v>61</v>
      </c>
      <c r="AT5" t="s">
        <v>59</v>
      </c>
      <c r="AU5">
        <v>-0.61800987832778442</v>
      </c>
      <c r="AX5" t="s">
        <v>7</v>
      </c>
      <c r="AY5" t="s">
        <v>4</v>
      </c>
      <c r="AZ5">
        <v>-0.44570098817942061</v>
      </c>
      <c r="BD5" t="s">
        <v>54</v>
      </c>
      <c r="BE5">
        <v>8.6757914544684234E-2</v>
      </c>
    </row>
    <row r="6" spans="1:57" x14ac:dyDescent="0.35">
      <c r="AX6" t="s">
        <v>8</v>
      </c>
      <c r="AY6" t="s">
        <v>9</v>
      </c>
      <c r="AZ6">
        <v>-0.22460844421124229</v>
      </c>
      <c r="BA6">
        <f>AVERAGE(AZ6:AZ9)</f>
        <v>-0.34023137790100849</v>
      </c>
      <c r="BD6" t="s">
        <v>14</v>
      </c>
      <c r="BE6">
        <v>7.4711193595318526E-2</v>
      </c>
    </row>
    <row r="7" spans="1:57" x14ac:dyDescent="0.35">
      <c r="AX7" t="s">
        <v>10</v>
      </c>
      <c r="AY7" t="s">
        <v>9</v>
      </c>
      <c r="AZ7">
        <v>-0.69439692216499138</v>
      </c>
      <c r="BD7" t="s">
        <v>29</v>
      </c>
      <c r="BE7">
        <v>7.1323303564338164E-2</v>
      </c>
    </row>
    <row r="8" spans="1:57" x14ac:dyDescent="0.35">
      <c r="A8" s="3" t="s">
        <v>64</v>
      </c>
      <c r="AX8" t="s">
        <v>11</v>
      </c>
      <c r="AY8" t="s">
        <v>9</v>
      </c>
      <c r="AZ8">
        <v>-0.78363219450927801</v>
      </c>
      <c r="BD8" t="s">
        <v>24</v>
      </c>
      <c r="BE8">
        <v>2.7278934814253582E-2</v>
      </c>
    </row>
    <row r="9" spans="1:57" x14ac:dyDescent="0.35">
      <c r="A9" t="s">
        <v>45</v>
      </c>
      <c r="B9" t="s">
        <v>44</v>
      </c>
      <c r="C9">
        <v>0.24754860543028839</v>
      </c>
      <c r="AX9" t="s">
        <v>12</v>
      </c>
      <c r="AY9" t="s">
        <v>9</v>
      </c>
      <c r="AZ9">
        <v>0.34171204928147758</v>
      </c>
      <c r="BD9" t="s">
        <v>49</v>
      </c>
      <c r="BE9">
        <v>2.4162901703153716E-2</v>
      </c>
    </row>
    <row r="10" spans="1:57" x14ac:dyDescent="0.35">
      <c r="A10" t="s">
        <v>26</v>
      </c>
      <c r="B10" t="s">
        <v>24</v>
      </c>
      <c r="C10">
        <v>-1.4235665472405871E-3</v>
      </c>
      <c r="AX10" t="s">
        <v>13</v>
      </c>
      <c r="AY10" t="s">
        <v>14</v>
      </c>
      <c r="AZ10">
        <v>1.163707161080032</v>
      </c>
      <c r="BA10">
        <f>AVERAGE(AZ10:AZ13)</f>
        <v>7.4711193595318526E-2</v>
      </c>
      <c r="BD10" t="s">
        <v>19</v>
      </c>
      <c r="BE10">
        <v>-8.0985644985058017E-3</v>
      </c>
    </row>
    <row r="11" spans="1:57" x14ac:dyDescent="0.35">
      <c r="A11" t="s">
        <v>31</v>
      </c>
      <c r="B11" t="s">
        <v>29</v>
      </c>
      <c r="C11">
        <v>-9.5314926033794906E-2</v>
      </c>
      <c r="AX11" t="s">
        <v>15</v>
      </c>
      <c r="AY11" t="s">
        <v>14</v>
      </c>
      <c r="AZ11">
        <v>0.27517578994997138</v>
      </c>
      <c r="BD11" t="s">
        <v>34</v>
      </c>
      <c r="BE11">
        <v>-0.31087875592007319</v>
      </c>
    </row>
    <row r="12" spans="1:57" x14ac:dyDescent="0.35">
      <c r="A12" t="s">
        <v>50</v>
      </c>
      <c r="B12" t="s">
        <v>49</v>
      </c>
      <c r="C12">
        <v>-0.18720420936553181</v>
      </c>
      <c r="AX12" t="s">
        <v>16</v>
      </c>
      <c r="AY12" t="s">
        <v>14</v>
      </c>
      <c r="AZ12">
        <v>-0.84267695761420303</v>
      </c>
      <c r="BD12" t="s">
        <v>9</v>
      </c>
      <c r="BE12">
        <v>-0.34023137790100849</v>
      </c>
    </row>
    <row r="13" spans="1:57" x14ac:dyDescent="0.35">
      <c r="A13" t="s">
        <v>21</v>
      </c>
      <c r="B13" t="s">
        <v>19</v>
      </c>
      <c r="C13">
        <v>-0.27784913768618119</v>
      </c>
      <c r="AX13" t="s">
        <v>17</v>
      </c>
      <c r="AY13" t="s">
        <v>14</v>
      </c>
      <c r="AZ13">
        <v>-0.29736121903452628</v>
      </c>
      <c r="BD13" t="s">
        <v>4</v>
      </c>
      <c r="BE13">
        <v>-0.38890137618788612</v>
      </c>
    </row>
    <row r="14" spans="1:57" x14ac:dyDescent="0.35">
      <c r="A14" t="s">
        <v>17</v>
      </c>
      <c r="B14" t="s">
        <v>14</v>
      </c>
      <c r="C14">
        <v>-0.29736121903452628</v>
      </c>
      <c r="AX14" t="s">
        <v>18</v>
      </c>
      <c r="AY14" t="s">
        <v>19</v>
      </c>
      <c r="AZ14">
        <v>0.43417028126742868</v>
      </c>
      <c r="BA14">
        <f>AVERAGE(AZ14:AZ17)</f>
        <v>-8.0985644985058017E-3</v>
      </c>
    </row>
    <row r="15" spans="1:57" x14ac:dyDescent="0.35">
      <c r="A15" t="s">
        <v>55</v>
      </c>
      <c r="B15" t="s">
        <v>54</v>
      </c>
      <c r="C15">
        <v>-0.41717599736217081</v>
      </c>
      <c r="AX15" t="s">
        <v>20</v>
      </c>
      <c r="AY15" t="s">
        <v>19</v>
      </c>
      <c r="AZ15">
        <v>-0.30463394711933039</v>
      </c>
    </row>
    <row r="16" spans="1:57" x14ac:dyDescent="0.35">
      <c r="A16" t="s">
        <v>62</v>
      </c>
      <c r="B16" t="s">
        <v>59</v>
      </c>
      <c r="C16">
        <v>-0.42564852884742088</v>
      </c>
      <c r="AX16" t="s">
        <v>21</v>
      </c>
      <c r="AY16" t="s">
        <v>19</v>
      </c>
      <c r="AZ16">
        <v>-0.27784913768618119</v>
      </c>
    </row>
    <row r="17" spans="1:53" x14ac:dyDescent="0.35">
      <c r="A17" t="s">
        <v>7</v>
      </c>
      <c r="B17" t="s">
        <v>4</v>
      </c>
      <c r="C17">
        <v>-0.44570098817942061</v>
      </c>
      <c r="AX17" t="s">
        <v>22</v>
      </c>
      <c r="AY17" t="s">
        <v>19</v>
      </c>
      <c r="AZ17">
        <v>0.1159185455440597</v>
      </c>
    </row>
    <row r="18" spans="1:53" x14ac:dyDescent="0.35">
      <c r="A18" t="s">
        <v>36</v>
      </c>
      <c r="B18" t="s">
        <v>34</v>
      </c>
      <c r="C18">
        <v>-0.4463379108015591</v>
      </c>
      <c r="AX18" t="s">
        <v>23</v>
      </c>
      <c r="AY18" t="s">
        <v>24</v>
      </c>
      <c r="AZ18">
        <v>0.91180506046215859</v>
      </c>
      <c r="BA18">
        <f>AVERAGE(AZ18:AZ21)</f>
        <v>2.7278934814253582E-2</v>
      </c>
    </row>
    <row r="19" spans="1:53" x14ac:dyDescent="0.35">
      <c r="A19" t="s">
        <v>10</v>
      </c>
      <c r="B19" t="s">
        <v>9</v>
      </c>
      <c r="C19">
        <v>-0.69439692216499138</v>
      </c>
      <c r="AX19" t="s">
        <v>25</v>
      </c>
      <c r="AY19" t="s">
        <v>24</v>
      </c>
      <c r="AZ19">
        <v>-0.89194681132931197</v>
      </c>
    </row>
    <row r="20" spans="1:53" x14ac:dyDescent="0.35">
      <c r="A20" t="s">
        <v>41</v>
      </c>
      <c r="B20" t="s">
        <v>39</v>
      </c>
      <c r="C20">
        <v>-0.73945936697980708</v>
      </c>
      <c r="AX20" t="s">
        <v>26</v>
      </c>
      <c r="AY20" t="s">
        <v>24</v>
      </c>
      <c r="AZ20">
        <v>-1.4235665472405871E-3</v>
      </c>
    </row>
    <row r="21" spans="1:53" x14ac:dyDescent="0.35">
      <c r="AX21" t="s">
        <v>27</v>
      </c>
      <c r="AY21" t="s">
        <v>24</v>
      </c>
      <c r="AZ21">
        <v>9.06810566714083E-2</v>
      </c>
    </row>
    <row r="22" spans="1:53" x14ac:dyDescent="0.35">
      <c r="AX22" t="s">
        <v>28</v>
      </c>
      <c r="AY22" t="s">
        <v>29</v>
      </c>
      <c r="AZ22">
        <v>0.86036874617068104</v>
      </c>
      <c r="BA22">
        <f>AVERAGE(AZ22:AZ25)</f>
        <v>7.1323303564338164E-2</v>
      </c>
    </row>
    <row r="23" spans="1:53" x14ac:dyDescent="0.35">
      <c r="AX23" t="s">
        <v>30</v>
      </c>
      <c r="AY23" t="s">
        <v>29</v>
      </c>
      <c r="AZ23">
        <v>0.16169767314103001</v>
      </c>
    </row>
    <row r="24" spans="1:53" x14ac:dyDescent="0.35">
      <c r="AX24" t="s">
        <v>31</v>
      </c>
      <c r="AY24" t="s">
        <v>29</v>
      </c>
      <c r="AZ24">
        <v>-9.5314926033794906E-2</v>
      </c>
    </row>
    <row r="25" spans="1:53" x14ac:dyDescent="0.35">
      <c r="AX25" t="s">
        <v>32</v>
      </c>
      <c r="AY25" t="s">
        <v>29</v>
      </c>
      <c r="AZ25">
        <v>-0.64145827902056352</v>
      </c>
    </row>
    <row r="26" spans="1:53" x14ac:dyDescent="0.35">
      <c r="AX26" t="s">
        <v>33</v>
      </c>
      <c r="AY26" t="s">
        <v>34</v>
      </c>
      <c r="AZ26">
        <v>0.49088446275316328</v>
      </c>
      <c r="BA26">
        <f>AVERAGE(AZ26:AZ29)</f>
        <v>-0.31087875592007319</v>
      </c>
    </row>
    <row r="27" spans="1:53" x14ac:dyDescent="0.35">
      <c r="AX27" t="s">
        <v>35</v>
      </c>
      <c r="AY27" t="s">
        <v>34</v>
      </c>
      <c r="AZ27">
        <v>-0.43301281723523738</v>
      </c>
    </row>
    <row r="28" spans="1:53" x14ac:dyDescent="0.35">
      <c r="AX28" t="s">
        <v>36</v>
      </c>
      <c r="AY28" t="s">
        <v>34</v>
      </c>
      <c r="AZ28">
        <v>-0.4463379108015591</v>
      </c>
    </row>
    <row r="29" spans="1:53" x14ac:dyDescent="0.35">
      <c r="AX29" t="s">
        <v>37</v>
      </c>
      <c r="AY29" t="s">
        <v>34</v>
      </c>
      <c r="AZ29">
        <v>-0.85504875839665961</v>
      </c>
    </row>
    <row r="30" spans="1:53" x14ac:dyDescent="0.35">
      <c r="AX30" t="s">
        <v>38</v>
      </c>
      <c r="AY30" t="s">
        <v>39</v>
      </c>
      <c r="AZ30">
        <v>1.706931952570343</v>
      </c>
      <c r="BA30">
        <f>AVERAGE(AZ30:AZ33)</f>
        <v>9.4158738761095956E-2</v>
      </c>
    </row>
    <row r="31" spans="1:53" x14ac:dyDescent="0.35">
      <c r="AX31" t="s">
        <v>40</v>
      </c>
      <c r="AY31" t="s">
        <v>39</v>
      </c>
      <c r="AZ31">
        <v>-0.74960874102878372</v>
      </c>
    </row>
    <row r="32" spans="1:53" x14ac:dyDescent="0.35">
      <c r="AX32" t="s">
        <v>41</v>
      </c>
      <c r="AY32" t="s">
        <v>39</v>
      </c>
      <c r="AZ32">
        <v>-0.73945936697980708</v>
      </c>
    </row>
    <row r="33" spans="50:53" x14ac:dyDescent="0.35">
      <c r="AX33" t="s">
        <v>42</v>
      </c>
      <c r="AY33" t="s">
        <v>39</v>
      </c>
      <c r="AZ33">
        <v>0.15877111048263159</v>
      </c>
    </row>
    <row r="34" spans="50:53" x14ac:dyDescent="0.35">
      <c r="AX34" t="s">
        <v>43</v>
      </c>
      <c r="AY34" t="s">
        <v>44</v>
      </c>
      <c r="AZ34">
        <v>1.9937068430243969</v>
      </c>
      <c r="BA34">
        <f>AVERAGE(AZ34:AZ37)</f>
        <v>0.49352368505935434</v>
      </c>
    </row>
    <row r="35" spans="50:53" x14ac:dyDescent="0.35">
      <c r="AX35" t="s">
        <v>45</v>
      </c>
      <c r="AY35" t="s">
        <v>44</v>
      </c>
      <c r="AZ35">
        <v>0.24754860543028839</v>
      </c>
    </row>
    <row r="36" spans="50:53" x14ac:dyDescent="0.35">
      <c r="AX36" t="s">
        <v>46</v>
      </c>
      <c r="AY36" t="s">
        <v>44</v>
      </c>
      <c r="AZ36">
        <v>-0.7065855579102811</v>
      </c>
    </row>
    <row r="37" spans="50:53" x14ac:dyDescent="0.35">
      <c r="AX37" t="s">
        <v>47</v>
      </c>
      <c r="AY37" t="s">
        <v>44</v>
      </c>
      <c r="AZ37">
        <v>0.43942484969301332</v>
      </c>
    </row>
    <row r="38" spans="50:53" x14ac:dyDescent="0.35">
      <c r="AX38" t="s">
        <v>48</v>
      </c>
      <c r="AY38" t="s">
        <v>49</v>
      </c>
      <c r="AZ38">
        <v>1.1055411852282571</v>
      </c>
      <c r="BA38">
        <f>AVERAGE(AZ38:AZ41)</f>
        <v>2.4162901703153716E-2</v>
      </c>
    </row>
    <row r="39" spans="50:53" x14ac:dyDescent="0.35">
      <c r="AX39" t="s">
        <v>50</v>
      </c>
      <c r="AY39" t="s">
        <v>49</v>
      </c>
      <c r="AZ39">
        <v>-0.18720420936553181</v>
      </c>
    </row>
    <row r="40" spans="50:53" x14ac:dyDescent="0.35">
      <c r="AX40" t="s">
        <v>51</v>
      </c>
      <c r="AY40" t="s">
        <v>49</v>
      </c>
      <c r="AZ40">
        <v>-5.0702040115242042E-2</v>
      </c>
    </row>
    <row r="41" spans="50:53" x14ac:dyDescent="0.35">
      <c r="AX41" t="s">
        <v>52</v>
      </c>
      <c r="AY41" t="s">
        <v>49</v>
      </c>
      <c r="AZ41">
        <v>-0.77098332893486832</v>
      </c>
    </row>
    <row r="42" spans="50:53" x14ac:dyDescent="0.35">
      <c r="AX42" t="s">
        <v>53</v>
      </c>
      <c r="AY42" t="s">
        <v>54</v>
      </c>
      <c r="AZ42">
        <v>1.171569662991861</v>
      </c>
      <c r="BA42">
        <f>AVERAGE(AZ42:AZ45)</f>
        <v>8.6757914544684234E-2</v>
      </c>
    </row>
    <row r="43" spans="50:53" x14ac:dyDescent="0.35">
      <c r="AX43" t="s">
        <v>55</v>
      </c>
      <c r="AY43" t="s">
        <v>54</v>
      </c>
      <c r="AZ43">
        <v>-0.41717599736217081</v>
      </c>
    </row>
    <row r="44" spans="50:53" x14ac:dyDescent="0.35">
      <c r="AX44" t="s">
        <v>56</v>
      </c>
      <c r="AY44" t="s">
        <v>54</v>
      </c>
      <c r="AZ44">
        <v>-0.65810742567354719</v>
      </c>
    </row>
    <row r="45" spans="50:53" x14ac:dyDescent="0.35">
      <c r="AX45" t="s">
        <v>57</v>
      </c>
      <c r="AY45" t="s">
        <v>54</v>
      </c>
      <c r="AZ45">
        <v>0.25074541822259389</v>
      </c>
    </row>
    <row r="46" spans="50:53" x14ac:dyDescent="0.35">
      <c r="AX46" t="s">
        <v>58</v>
      </c>
      <c r="AY46" t="s">
        <v>59</v>
      </c>
      <c r="AZ46">
        <v>1.552263162576021</v>
      </c>
      <c r="BA46">
        <f>AVERAGE(AZ46:AZ49)</f>
        <v>0.17619340246527379</v>
      </c>
    </row>
    <row r="47" spans="50:53" x14ac:dyDescent="0.35">
      <c r="AX47" t="s">
        <v>60</v>
      </c>
      <c r="AY47" t="s">
        <v>59</v>
      </c>
      <c r="AZ47">
        <v>0.19616885446027929</v>
      </c>
    </row>
    <row r="48" spans="50:53" x14ac:dyDescent="0.35">
      <c r="AX48" t="s">
        <v>61</v>
      </c>
      <c r="AY48" t="s">
        <v>59</v>
      </c>
      <c r="AZ48">
        <v>-0.61800987832778442</v>
      </c>
    </row>
    <row r="49" spans="50:52" x14ac:dyDescent="0.35">
      <c r="AX49" t="s">
        <v>62</v>
      </c>
      <c r="AY49" t="s">
        <v>59</v>
      </c>
      <c r="AZ49">
        <v>-0.42564852884742088</v>
      </c>
    </row>
  </sheetData>
  <sortState xmlns:xlrd2="http://schemas.microsoft.com/office/spreadsheetml/2017/richdata2" ref="BD2:BE49">
    <sortCondition descending="1" ref="BE1:BE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2026-06-14T11:58:54Z</dcterms:created>
  <dcterms:modified xsi:type="dcterms:W3CDTF">2026-06-15T13:15:36Z</dcterms:modified>
</cp:coreProperties>
</file>