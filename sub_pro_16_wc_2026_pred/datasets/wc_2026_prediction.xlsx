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_Files\sports_data_sci\sub_pro_16_wc_2026_pred\datasets\"/>
    </mc:Choice>
  </mc:AlternateContent>
  <xr:revisionPtr revIDLastSave="0" documentId="13_ncr:1_{F4EDC27A-FB9A-411D-932E-91EE818EBCE1}" xr6:coauthVersionLast="47" xr6:coauthVersionMax="47" xr10:uidLastSave="{00000000-0000-0000-0000-000000000000}"/>
  <bookViews>
    <workbookView xWindow="-110" yWindow="-110" windowWidth="19420" windowHeight="10420" xr2:uid="{72156297-1BEC-4461-8C11-7AA6EA13B3F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1" l="1"/>
  <c r="M14" i="1"/>
  <c r="M18" i="1"/>
  <c r="M22" i="1"/>
  <c r="M26" i="1"/>
  <c r="M30" i="1"/>
  <c r="M34" i="1"/>
  <c r="M38" i="1"/>
  <c r="M42" i="1"/>
  <c r="M46" i="1"/>
  <c r="M6" i="1"/>
  <c r="M2" i="1"/>
</calcChain>
</file>

<file path=xl/sharedStrings.xml><?xml version="1.0" encoding="utf-8"?>
<sst xmlns="http://schemas.openxmlformats.org/spreadsheetml/2006/main" count="109" uniqueCount="73">
  <si>
    <t>Country</t>
  </si>
  <si>
    <t>Group</t>
  </si>
  <si>
    <t>FIFA Ranking</t>
  </si>
  <si>
    <t>FIFA Ranking Points</t>
  </si>
  <si>
    <t>ELO Rating</t>
  </si>
  <si>
    <t>GDP Per Capita</t>
  </si>
  <si>
    <t>Population</t>
  </si>
  <si>
    <t>Percent Foreigners</t>
  </si>
  <si>
    <t>Average Yearly Temp</t>
  </si>
  <si>
    <t>Team Value (Euros)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</si>
  <si>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</si>
  <si>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</si>
  <si>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</si>
  <si>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</si>
  <si>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</si>
  <si>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</si>
  <si>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</si>
  <si>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</si>
  <si>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</si>
  <si>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</si>
  <si>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</si>
  <si>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</si>
  <si>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Mexico</t>
  </si>
  <si>
    <t>South Africa</t>
  </si>
  <si>
    <t>South Korea</t>
  </si>
  <si>
    <t>Czechia</t>
  </si>
  <si>
    <t>Canada</t>
  </si>
  <si>
    <t>Bosnia-Herzegovina</t>
  </si>
  <si>
    <t>Qatar</t>
  </si>
  <si>
    <t>Switzerland</t>
  </si>
  <si>
    <t>Brazil</t>
  </si>
  <si>
    <t>Morocco</t>
  </si>
  <si>
    <t>Haiti</t>
  </si>
  <si>
    <t>Scotland</t>
  </si>
  <si>
    <t>USA</t>
  </si>
  <si>
    <t>Paraguay</t>
  </si>
  <si>
    <t>Australia</t>
  </si>
  <si>
    <t>Turkiye</t>
  </si>
  <si>
    <t>Germany</t>
  </si>
  <si>
    <t>Curacao</t>
  </si>
  <si>
    <t>Ivory Coast</t>
  </si>
  <si>
    <t>Ecuador</t>
  </si>
  <si>
    <t>Netherlands</t>
  </si>
  <si>
    <t>Japan</t>
  </si>
  <si>
    <t>Sweden</t>
  </si>
  <si>
    <t>Tunisia</t>
  </si>
  <si>
    <t>Belgium</t>
  </si>
  <si>
    <t>Egypt</t>
  </si>
  <si>
    <t>Iran</t>
  </si>
  <si>
    <t>New Zealand</t>
  </si>
  <si>
    <t xml:space="preserve">Spain </t>
  </si>
  <si>
    <t>Cabo Verde</t>
  </si>
  <si>
    <t>Saudi Arabia</t>
  </si>
  <si>
    <t>Uruguay</t>
  </si>
  <si>
    <t xml:space="preserve">France </t>
  </si>
  <si>
    <t>Senegal</t>
  </si>
  <si>
    <t>Iraq</t>
  </si>
  <si>
    <t>Norway</t>
  </si>
  <si>
    <t>Argentina</t>
  </si>
  <si>
    <t>Algeria</t>
  </si>
  <si>
    <t>Austria</t>
  </si>
  <si>
    <t>Jordan</t>
  </si>
  <si>
    <t>Portugal</t>
  </si>
  <si>
    <t>DR Congo</t>
  </si>
  <si>
    <t>Uzbekistan</t>
  </si>
  <si>
    <t>Colombia</t>
  </si>
  <si>
    <t>England</t>
  </si>
  <si>
    <t>Croatia</t>
  </si>
  <si>
    <t>Ghana</t>
  </si>
  <si>
    <t>Panama</t>
  </si>
  <si>
    <t>Kalshi Odds (%)</t>
  </si>
  <si>
    <t>Polymarket Odds (%)</t>
  </si>
  <si>
    <t>Average FIFA Ranking Per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</si>
</sst>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572A7-F655-44BA-A20F-DEE028201F31}">
  <dimension ref="A1:M49"/>
  <sheetViews>
    <sheetView tabSelected="1" topLeftCell="A29" workbookViewId="0">
      <pane xSplit="1" topLeftCell="B1" activePane="topRight" state="frozen"/>
      <selection pane="topRight" activeCell="G47" sqref="G47"/>
    </sheetView>
  </sheetViews>
  <sheetFormatPr defaultRowHeight="14.5" x14ac:dyDescent="0.35"/>
  <cols>
    <col min="1" max="1" width="17.453125" bestFit="1" customWidth="1"/>
    <col min="2" max="2" width="6.08984375" bestFit="1" customWidth="1"/>
    <col min="3" max="3" width="11.36328125" bestFit="1" customWidth="1"/>
    <col min="4" max="4" width="17.08984375" bestFit="1" customWidth="1"/>
    <col min="5" max="5" width="9.6328125" bestFit="1" customWidth="1"/>
    <col min="6" max="6" width="18.453125" bestFit="1" customWidth="1"/>
    <col min="7" max="7" width="17.1796875" bestFit="1" customWidth="1"/>
    <col min="8" max="8" width="16.36328125" bestFit="1" customWidth="1"/>
    <col min="9" max="9" width="13.36328125" bestFit="1" customWidth="1"/>
    <col min="10" max="10" width="9.81640625" bestFit="1" customWidth="1"/>
    <col min="11" max="11" width="13.7265625" bestFit="1" customWidth="1"/>
    <col min="12" max="12" width="18.36328125" bestFit="1" customWidth="1"/>
    <col min="13" max="13" width="27.81640625" bestFit="1" customWidth="1"/>
    <col min="14" max="14" width="20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9</v>
      </c>
      <c r="H1" t="s">
        <v>7</v>
      </c>
      <c r="I1" t="s">
        <v>5</v>
      </c>
      <c r="J1" t="s">
        <v>6</v>
      </c>
      <c r="K1" s="1" t="s">
        <v>70</v>
      </c>
      <c r="L1" s="1" t="s">
        <v>71</v>
      </c>
      <c r="M1" t="s">
        <v>72</v>
      </c>
    </row>
    <row r="2" spans="1:13" x14ac:dyDescent="0.35">
      <c r="A2" t="s">
        <v>22</v>
      </c>
      <c r="B2" t="s">
        <v>10</v>
      </c>
      <c r="C2">
        <v>14</v>
      </c>
      <c r="D2">
        <v>1687.48</v>
      </c>
      <c r="E2">
        <v>1875</v>
      </c>
      <c r="F2">
        <v>21.31</v>
      </c>
      <c r="G2">
        <v>191850000</v>
      </c>
      <c r="H2">
        <v>53.8</v>
      </c>
      <c r="I2">
        <v>15779</v>
      </c>
      <c r="J2">
        <v>132997658</v>
      </c>
      <c r="K2">
        <v>2.5</v>
      </c>
      <c r="L2">
        <v>1</v>
      </c>
      <c r="M2">
        <f>AVERAGE(C2:C5)</f>
        <v>34.75</v>
      </c>
    </row>
    <row r="3" spans="1:13" x14ac:dyDescent="0.35">
      <c r="A3" t="s">
        <v>23</v>
      </c>
      <c r="B3" t="s">
        <v>10</v>
      </c>
      <c r="C3">
        <v>60</v>
      </c>
      <c r="D3">
        <v>1428.38</v>
      </c>
      <c r="E3">
        <v>1517</v>
      </c>
      <c r="F3">
        <v>18.23</v>
      </c>
      <c r="G3">
        <v>49250000</v>
      </c>
      <c r="H3">
        <v>26.9</v>
      </c>
      <c r="I3">
        <v>7503</v>
      </c>
      <c r="J3">
        <v>65453084</v>
      </c>
      <c r="K3">
        <v>0.1</v>
      </c>
      <c r="L3">
        <v>0.1</v>
      </c>
    </row>
    <row r="4" spans="1:13" x14ac:dyDescent="0.35">
      <c r="A4" t="s">
        <v>24</v>
      </c>
      <c r="B4" t="s">
        <v>10</v>
      </c>
      <c r="C4">
        <v>25</v>
      </c>
      <c r="D4">
        <v>1591.63</v>
      </c>
      <c r="E4">
        <v>1758</v>
      </c>
      <c r="F4">
        <v>12.22</v>
      </c>
      <c r="G4">
        <v>139050000</v>
      </c>
      <c r="H4">
        <v>73.099999999999994</v>
      </c>
      <c r="I4">
        <v>37412</v>
      </c>
      <c r="J4">
        <v>51600388</v>
      </c>
      <c r="K4">
        <v>0.3</v>
      </c>
      <c r="L4">
        <v>0.1</v>
      </c>
    </row>
    <row r="5" spans="1:13" x14ac:dyDescent="0.35">
      <c r="A5" t="s">
        <v>25</v>
      </c>
      <c r="B5" t="s">
        <v>10</v>
      </c>
      <c r="C5">
        <v>40</v>
      </c>
      <c r="D5">
        <v>1505.74</v>
      </c>
      <c r="E5">
        <v>1740</v>
      </c>
      <c r="F5">
        <v>8.6</v>
      </c>
      <c r="G5">
        <v>188180000</v>
      </c>
      <c r="H5">
        <v>34.6</v>
      </c>
      <c r="I5">
        <v>39795</v>
      </c>
      <c r="J5">
        <v>10527781</v>
      </c>
      <c r="K5">
        <v>0.1</v>
      </c>
      <c r="L5">
        <v>0.1</v>
      </c>
    </row>
    <row r="6" spans="1:13" x14ac:dyDescent="0.35">
      <c r="A6" t="s">
        <v>26</v>
      </c>
      <c r="B6" t="s">
        <v>11</v>
      </c>
      <c r="C6">
        <v>30</v>
      </c>
      <c r="D6">
        <v>1559.48</v>
      </c>
      <c r="E6">
        <v>1788</v>
      </c>
      <c r="F6">
        <v>-4.03</v>
      </c>
      <c r="G6">
        <v>198650000</v>
      </c>
      <c r="H6">
        <v>92.3</v>
      </c>
      <c r="I6">
        <v>60305</v>
      </c>
      <c r="J6">
        <v>40467728</v>
      </c>
      <c r="K6">
        <v>0.4</v>
      </c>
      <c r="L6">
        <v>0.1</v>
      </c>
      <c r="M6">
        <f>AVERAGE(C6:C9)</f>
        <v>42.25</v>
      </c>
    </row>
    <row r="7" spans="1:13" x14ac:dyDescent="0.35">
      <c r="A7" t="s">
        <v>27</v>
      </c>
      <c r="B7" t="s">
        <v>11</v>
      </c>
      <c r="C7">
        <v>64</v>
      </c>
      <c r="D7">
        <v>1387.22</v>
      </c>
      <c r="E7">
        <v>1595</v>
      </c>
      <c r="F7">
        <v>10.35</v>
      </c>
      <c r="G7">
        <v>151600000</v>
      </c>
      <c r="H7">
        <v>96.2</v>
      </c>
      <c r="I7">
        <v>10701</v>
      </c>
      <c r="J7">
        <v>3114242</v>
      </c>
      <c r="K7">
        <v>0.1</v>
      </c>
      <c r="L7">
        <v>0.1</v>
      </c>
    </row>
    <row r="8" spans="1:13" x14ac:dyDescent="0.35">
      <c r="A8" t="s">
        <v>28</v>
      </c>
      <c r="B8" t="s">
        <v>11</v>
      </c>
      <c r="C8">
        <v>56</v>
      </c>
      <c r="D8">
        <v>1450.31</v>
      </c>
      <c r="E8">
        <v>1421</v>
      </c>
      <c r="F8">
        <v>28.02</v>
      </c>
      <c r="G8">
        <v>19930000</v>
      </c>
      <c r="H8">
        <v>3.8</v>
      </c>
      <c r="I8">
        <v>68138</v>
      </c>
      <c r="J8">
        <v>3173559</v>
      </c>
      <c r="K8">
        <v>0.1</v>
      </c>
      <c r="L8">
        <v>0.1</v>
      </c>
    </row>
    <row r="9" spans="1:13" x14ac:dyDescent="0.35">
      <c r="A9" t="s">
        <v>29</v>
      </c>
      <c r="B9" t="s">
        <v>11</v>
      </c>
      <c r="C9">
        <v>19</v>
      </c>
      <c r="D9">
        <v>1650.06</v>
      </c>
      <c r="E9">
        <v>1891</v>
      </c>
      <c r="F9">
        <v>6.47</v>
      </c>
      <c r="G9">
        <v>332500000</v>
      </c>
      <c r="H9">
        <v>92.3</v>
      </c>
      <c r="I9">
        <v>126177</v>
      </c>
      <c r="J9">
        <v>9007798</v>
      </c>
      <c r="K9">
        <v>1</v>
      </c>
      <c r="L9">
        <v>1</v>
      </c>
    </row>
    <row r="10" spans="1:13" x14ac:dyDescent="0.35">
      <c r="A10" t="s">
        <v>30</v>
      </c>
      <c r="B10" t="s">
        <v>12</v>
      </c>
      <c r="C10">
        <v>6</v>
      </c>
      <c r="D10">
        <v>1765.86</v>
      </c>
      <c r="E10">
        <v>1991</v>
      </c>
      <c r="F10">
        <v>25.44</v>
      </c>
      <c r="G10">
        <v>928200000</v>
      </c>
      <c r="H10">
        <v>73.099999999999994</v>
      </c>
      <c r="I10">
        <v>12313</v>
      </c>
      <c r="J10">
        <v>213562666</v>
      </c>
      <c r="K10">
        <v>8.6999999999999993</v>
      </c>
      <c r="L10">
        <v>8</v>
      </c>
      <c r="M10">
        <f t="shared" ref="M10" si="0">AVERAGE(C10:C13)</f>
        <v>34.5</v>
      </c>
    </row>
    <row r="11" spans="1:13" x14ac:dyDescent="0.35">
      <c r="A11" t="s">
        <v>31</v>
      </c>
      <c r="B11" t="s">
        <v>12</v>
      </c>
      <c r="C11">
        <v>7</v>
      </c>
      <c r="D11">
        <v>1755.1</v>
      </c>
      <c r="E11">
        <v>1827</v>
      </c>
      <c r="F11">
        <v>18.14</v>
      </c>
      <c r="G11">
        <v>498300000</v>
      </c>
      <c r="H11">
        <v>92.3</v>
      </c>
      <c r="I11">
        <v>5107</v>
      </c>
      <c r="J11">
        <v>38762441</v>
      </c>
      <c r="K11">
        <v>1.6</v>
      </c>
      <c r="L11">
        <v>2</v>
      </c>
    </row>
    <row r="12" spans="1:13" x14ac:dyDescent="0.35">
      <c r="A12" t="s">
        <v>32</v>
      </c>
      <c r="B12" t="s">
        <v>12</v>
      </c>
      <c r="C12">
        <v>83</v>
      </c>
      <c r="D12">
        <v>1293.0999999999999</v>
      </c>
      <c r="E12">
        <v>1548</v>
      </c>
      <c r="F12">
        <v>24.95</v>
      </c>
      <c r="G12">
        <v>55900000</v>
      </c>
      <c r="H12">
        <v>96.2</v>
      </c>
      <c r="I12">
        <v>3079</v>
      </c>
      <c r="J12">
        <v>12037506</v>
      </c>
      <c r="K12">
        <v>0.1</v>
      </c>
      <c r="L12">
        <v>0.1</v>
      </c>
    </row>
    <row r="13" spans="1:13" x14ac:dyDescent="0.35">
      <c r="A13" t="s">
        <v>33</v>
      </c>
      <c r="B13" t="s">
        <v>12</v>
      </c>
      <c r="C13">
        <v>42</v>
      </c>
      <c r="D13">
        <v>1503.34</v>
      </c>
      <c r="E13">
        <v>1782</v>
      </c>
      <c r="F13">
        <v>9.24</v>
      </c>
      <c r="G13">
        <v>170250000</v>
      </c>
      <c r="H13">
        <v>69.2</v>
      </c>
      <c r="I13">
        <v>61056</v>
      </c>
      <c r="J13">
        <v>5546900</v>
      </c>
      <c r="K13">
        <v>0.3</v>
      </c>
      <c r="L13">
        <v>0.1</v>
      </c>
    </row>
    <row r="14" spans="1:13" x14ac:dyDescent="0.35">
      <c r="A14" t="s">
        <v>34</v>
      </c>
      <c r="B14" t="s">
        <v>13</v>
      </c>
      <c r="C14">
        <v>17</v>
      </c>
      <c r="D14">
        <v>1671.23</v>
      </c>
      <c r="E14">
        <v>1726</v>
      </c>
      <c r="F14">
        <v>9.4600000000000009</v>
      </c>
      <c r="G14">
        <v>385650000</v>
      </c>
      <c r="H14">
        <v>73.099999999999994</v>
      </c>
      <c r="I14">
        <v>94430</v>
      </c>
      <c r="J14">
        <v>349035494</v>
      </c>
      <c r="K14">
        <v>1.7</v>
      </c>
      <c r="L14">
        <v>1</v>
      </c>
      <c r="M14">
        <f t="shared" ref="M14" si="1">AVERAGE(C14:C17)</f>
        <v>26.75</v>
      </c>
    </row>
    <row r="15" spans="1:13" x14ac:dyDescent="0.35">
      <c r="A15" t="s">
        <v>35</v>
      </c>
      <c r="B15" t="s">
        <v>13</v>
      </c>
      <c r="C15">
        <v>41</v>
      </c>
      <c r="D15">
        <v>1505.35</v>
      </c>
      <c r="E15">
        <v>1834</v>
      </c>
      <c r="F15">
        <v>23.92</v>
      </c>
      <c r="G15">
        <v>153650000</v>
      </c>
      <c r="H15">
        <v>88.5</v>
      </c>
      <c r="I15">
        <v>9372</v>
      </c>
      <c r="J15">
        <v>7095279</v>
      </c>
      <c r="K15">
        <v>0.3</v>
      </c>
      <c r="L15">
        <v>0.1</v>
      </c>
    </row>
    <row r="16" spans="1:13" x14ac:dyDescent="0.35">
      <c r="A16" t="s">
        <v>36</v>
      </c>
      <c r="B16" t="s">
        <v>13</v>
      </c>
      <c r="C16">
        <v>27</v>
      </c>
      <c r="D16">
        <v>1579.34</v>
      </c>
      <c r="E16">
        <v>1777</v>
      </c>
      <c r="F16">
        <v>2.0499999999999998</v>
      </c>
      <c r="G16">
        <v>77450000</v>
      </c>
      <c r="H16">
        <v>80.5</v>
      </c>
      <c r="I16">
        <v>75648</v>
      </c>
      <c r="J16">
        <v>27227096</v>
      </c>
      <c r="K16">
        <v>0.2</v>
      </c>
      <c r="L16">
        <v>0.1</v>
      </c>
    </row>
    <row r="17" spans="1:13" x14ac:dyDescent="0.35">
      <c r="A17" t="s">
        <v>37</v>
      </c>
      <c r="B17" t="s">
        <v>13</v>
      </c>
      <c r="C17">
        <v>22</v>
      </c>
      <c r="D17">
        <v>1605.73</v>
      </c>
      <c r="E17">
        <v>1911</v>
      </c>
      <c r="F17">
        <v>11.66</v>
      </c>
      <c r="G17">
        <v>473700000</v>
      </c>
      <c r="H17">
        <v>42.3</v>
      </c>
      <c r="I17">
        <v>19018</v>
      </c>
      <c r="J17">
        <v>87926082</v>
      </c>
      <c r="K17">
        <v>1</v>
      </c>
      <c r="L17">
        <v>1</v>
      </c>
    </row>
    <row r="18" spans="1:13" x14ac:dyDescent="0.35">
      <c r="A18" t="s">
        <v>38</v>
      </c>
      <c r="B18" t="s">
        <v>14</v>
      </c>
      <c r="C18">
        <v>10</v>
      </c>
      <c r="D18">
        <v>1735.77</v>
      </c>
      <c r="E18">
        <v>1932</v>
      </c>
      <c r="F18">
        <v>9.59</v>
      </c>
      <c r="G18">
        <v>947000000</v>
      </c>
      <c r="H18">
        <v>26.9</v>
      </c>
      <c r="I18">
        <v>65303</v>
      </c>
      <c r="J18">
        <v>83644258</v>
      </c>
      <c r="K18">
        <v>5.6</v>
      </c>
      <c r="L18">
        <v>5</v>
      </c>
      <c r="M18">
        <f t="shared" ref="M18" si="2">AVERAGE(C18:C21)</f>
        <v>37</v>
      </c>
    </row>
    <row r="19" spans="1:13" x14ac:dyDescent="0.35">
      <c r="A19" t="s">
        <v>39</v>
      </c>
      <c r="B19" t="s">
        <v>14</v>
      </c>
      <c r="C19">
        <v>82</v>
      </c>
      <c r="D19">
        <v>1294.77</v>
      </c>
      <c r="E19">
        <v>1434</v>
      </c>
      <c r="F19">
        <v>28.4</v>
      </c>
      <c r="G19">
        <v>25780000</v>
      </c>
      <c r="H19">
        <v>100</v>
      </c>
      <c r="I19">
        <v>21062</v>
      </c>
      <c r="J19">
        <v>185440</v>
      </c>
      <c r="K19">
        <v>0.1</v>
      </c>
      <c r="L19">
        <v>0.1</v>
      </c>
    </row>
    <row r="20" spans="1:13" x14ac:dyDescent="0.35">
      <c r="A20" t="s">
        <v>40</v>
      </c>
      <c r="B20" t="s">
        <v>14</v>
      </c>
      <c r="C20">
        <v>33</v>
      </c>
      <c r="D20">
        <v>1540.87</v>
      </c>
      <c r="E20">
        <v>1695</v>
      </c>
      <c r="F20">
        <v>26.8</v>
      </c>
      <c r="G20">
        <v>522100000</v>
      </c>
      <c r="H20">
        <v>100</v>
      </c>
      <c r="I20">
        <v>3313</v>
      </c>
      <c r="J20">
        <v>33494346</v>
      </c>
      <c r="K20">
        <v>0.4</v>
      </c>
      <c r="L20">
        <v>0.1</v>
      </c>
    </row>
    <row r="21" spans="1:13" x14ac:dyDescent="0.35">
      <c r="A21" t="s">
        <v>41</v>
      </c>
      <c r="B21" t="s">
        <v>14</v>
      </c>
      <c r="C21">
        <v>23</v>
      </c>
      <c r="D21">
        <v>1598.52</v>
      </c>
      <c r="E21">
        <v>1938</v>
      </c>
      <c r="F21">
        <v>21.43</v>
      </c>
      <c r="G21">
        <v>368700000</v>
      </c>
      <c r="H21">
        <v>92.3</v>
      </c>
      <c r="I21">
        <v>7575</v>
      </c>
      <c r="J21">
        <v>18444506</v>
      </c>
      <c r="K21">
        <v>1</v>
      </c>
      <c r="L21">
        <v>1</v>
      </c>
    </row>
    <row r="22" spans="1:13" x14ac:dyDescent="0.35">
      <c r="A22" t="s">
        <v>42</v>
      </c>
      <c r="B22" t="s">
        <v>15</v>
      </c>
      <c r="C22">
        <v>8</v>
      </c>
      <c r="D22">
        <v>1753.57</v>
      </c>
      <c r="E22">
        <v>1948</v>
      </c>
      <c r="F22">
        <v>10.49</v>
      </c>
      <c r="G22">
        <v>754200000</v>
      </c>
      <c r="H22">
        <v>92.3</v>
      </c>
      <c r="I22">
        <v>79918</v>
      </c>
      <c r="J22">
        <v>18448775</v>
      </c>
      <c r="K22">
        <v>5.2</v>
      </c>
      <c r="L22">
        <v>4</v>
      </c>
      <c r="M22">
        <f t="shared" ref="M22" si="3">AVERAGE(C22:C25)</f>
        <v>27.25</v>
      </c>
    </row>
    <row r="23" spans="1:13" x14ac:dyDescent="0.35">
      <c r="A23" t="s">
        <v>43</v>
      </c>
      <c r="B23" t="s">
        <v>15</v>
      </c>
      <c r="C23">
        <v>18</v>
      </c>
      <c r="D23">
        <v>1661.58</v>
      </c>
      <c r="E23">
        <v>1906</v>
      </c>
      <c r="F23">
        <v>11.78</v>
      </c>
      <c r="G23">
        <v>270850000</v>
      </c>
      <c r="H23">
        <v>88.5</v>
      </c>
      <c r="I23">
        <v>36703</v>
      </c>
      <c r="J23">
        <v>122427731</v>
      </c>
      <c r="K23">
        <v>1.7</v>
      </c>
      <c r="L23">
        <v>2</v>
      </c>
    </row>
    <row r="24" spans="1:13" x14ac:dyDescent="0.35">
      <c r="A24" t="s">
        <v>44</v>
      </c>
      <c r="B24" t="s">
        <v>15</v>
      </c>
      <c r="C24">
        <v>38</v>
      </c>
      <c r="D24">
        <v>1509.79</v>
      </c>
      <c r="E24">
        <v>1712</v>
      </c>
      <c r="F24">
        <v>3.23</v>
      </c>
      <c r="G24">
        <v>406080000</v>
      </c>
      <c r="H24">
        <v>88.5</v>
      </c>
      <c r="I24">
        <v>70676</v>
      </c>
      <c r="J24">
        <v>10701047</v>
      </c>
      <c r="K24">
        <v>0.4</v>
      </c>
      <c r="L24">
        <v>0.1</v>
      </c>
    </row>
    <row r="25" spans="1:13" x14ac:dyDescent="0.35">
      <c r="A25" t="s">
        <v>45</v>
      </c>
      <c r="B25" t="s">
        <v>15</v>
      </c>
      <c r="C25">
        <v>45</v>
      </c>
      <c r="D25">
        <v>1476.41</v>
      </c>
      <c r="E25">
        <v>1628</v>
      </c>
      <c r="F25">
        <v>20.52</v>
      </c>
      <c r="G25">
        <v>69950000</v>
      </c>
      <c r="H25">
        <v>76.900000000000006</v>
      </c>
      <c r="I25">
        <v>4893</v>
      </c>
      <c r="J25">
        <v>12415138</v>
      </c>
      <c r="K25">
        <v>0.1</v>
      </c>
      <c r="L25">
        <v>0.1</v>
      </c>
    </row>
    <row r="26" spans="1:13" x14ac:dyDescent="0.35">
      <c r="A26" t="s">
        <v>46</v>
      </c>
      <c r="B26" t="s">
        <v>16</v>
      </c>
      <c r="C26">
        <v>9</v>
      </c>
      <c r="D26">
        <v>1742.24</v>
      </c>
      <c r="E26">
        <v>1894</v>
      </c>
      <c r="F26">
        <v>10.67</v>
      </c>
      <c r="G26">
        <v>547500000</v>
      </c>
      <c r="H26">
        <v>88.5</v>
      </c>
      <c r="I26">
        <v>65112</v>
      </c>
      <c r="J26">
        <v>11774642</v>
      </c>
      <c r="K26">
        <v>2.2999999999999998</v>
      </c>
      <c r="L26">
        <v>2</v>
      </c>
      <c r="M26">
        <f t="shared" ref="M26" si="4">AVERAGE(C26:C29)</f>
        <v>35.75</v>
      </c>
    </row>
    <row r="27" spans="1:13" x14ac:dyDescent="0.35">
      <c r="A27" t="s">
        <v>47</v>
      </c>
      <c r="B27" t="s">
        <v>16</v>
      </c>
      <c r="C27">
        <v>29</v>
      </c>
      <c r="D27">
        <v>1562.37</v>
      </c>
      <c r="E27">
        <v>1696</v>
      </c>
      <c r="F27">
        <v>23.14</v>
      </c>
      <c r="G27">
        <v>116480000</v>
      </c>
      <c r="H27">
        <v>34.6</v>
      </c>
      <c r="I27">
        <v>3904</v>
      </c>
      <c r="J27">
        <v>120101175</v>
      </c>
      <c r="K27">
        <v>0.2</v>
      </c>
      <c r="L27">
        <v>0.1</v>
      </c>
    </row>
    <row r="28" spans="1:13" x14ac:dyDescent="0.35">
      <c r="A28" t="s">
        <v>48</v>
      </c>
      <c r="B28" t="s">
        <v>16</v>
      </c>
      <c r="C28">
        <v>20</v>
      </c>
      <c r="D28">
        <v>1619.58</v>
      </c>
      <c r="E28">
        <v>1772</v>
      </c>
      <c r="F28">
        <v>18.34</v>
      </c>
      <c r="G28">
        <v>32050000</v>
      </c>
      <c r="H28">
        <v>34.6</v>
      </c>
      <c r="I28">
        <v>3415</v>
      </c>
      <c r="J28">
        <v>93168497</v>
      </c>
      <c r="K28">
        <v>0.1</v>
      </c>
      <c r="L28">
        <v>0.1</v>
      </c>
    </row>
    <row r="29" spans="1:13" x14ac:dyDescent="0.35">
      <c r="A29" t="s">
        <v>49</v>
      </c>
      <c r="B29" t="s">
        <v>16</v>
      </c>
      <c r="C29">
        <v>85</v>
      </c>
      <c r="D29">
        <v>1275.58</v>
      </c>
      <c r="E29">
        <v>1562</v>
      </c>
      <c r="F29">
        <v>10.46</v>
      </c>
      <c r="G29">
        <v>34350000</v>
      </c>
      <c r="H29">
        <v>69.2</v>
      </c>
      <c r="I29">
        <v>52023</v>
      </c>
      <c r="J29">
        <v>5287479</v>
      </c>
      <c r="K29">
        <v>0.1</v>
      </c>
      <c r="L29">
        <v>0.1</v>
      </c>
    </row>
    <row r="30" spans="1:13" x14ac:dyDescent="0.35">
      <c r="A30" t="s">
        <v>50</v>
      </c>
      <c r="B30" t="s">
        <v>17</v>
      </c>
      <c r="C30">
        <v>2</v>
      </c>
      <c r="D30">
        <v>1874.41</v>
      </c>
      <c r="E30">
        <v>2157</v>
      </c>
      <c r="F30">
        <v>13.07</v>
      </c>
      <c r="G30">
        <v>1220000000</v>
      </c>
      <c r="H30">
        <v>34.6</v>
      </c>
      <c r="I30">
        <v>41563</v>
      </c>
      <c r="J30">
        <v>47850793</v>
      </c>
      <c r="K30">
        <v>17.600000000000001</v>
      </c>
      <c r="L30">
        <v>16</v>
      </c>
      <c r="M30">
        <f t="shared" ref="M30" si="5">AVERAGE(C30:C33)</f>
        <v>36.5</v>
      </c>
    </row>
    <row r="31" spans="1:13" x14ac:dyDescent="0.35">
      <c r="A31" t="s">
        <v>51</v>
      </c>
      <c r="B31" t="s">
        <v>17</v>
      </c>
      <c r="C31">
        <v>67</v>
      </c>
      <c r="D31">
        <v>1371.11</v>
      </c>
      <c r="E31">
        <v>1578</v>
      </c>
      <c r="F31">
        <v>22.53</v>
      </c>
      <c r="G31">
        <v>54500000</v>
      </c>
      <c r="H31">
        <v>100</v>
      </c>
      <c r="I31">
        <v>6670</v>
      </c>
      <c r="J31">
        <v>529630</v>
      </c>
      <c r="K31">
        <v>0.1</v>
      </c>
      <c r="L31">
        <v>0.1</v>
      </c>
    </row>
    <row r="32" spans="1:13" x14ac:dyDescent="0.35">
      <c r="A32" t="s">
        <v>52</v>
      </c>
      <c r="B32" t="s">
        <v>17</v>
      </c>
      <c r="C32">
        <v>61</v>
      </c>
      <c r="D32">
        <v>1423.88</v>
      </c>
      <c r="E32">
        <v>1576</v>
      </c>
      <c r="F32">
        <v>25.94</v>
      </c>
      <c r="G32">
        <v>40680000</v>
      </c>
      <c r="H32">
        <v>3.8</v>
      </c>
      <c r="I32">
        <v>37811</v>
      </c>
      <c r="J32">
        <v>35165787</v>
      </c>
      <c r="K32">
        <v>0.1</v>
      </c>
      <c r="L32">
        <v>0.1</v>
      </c>
    </row>
    <row r="33" spans="1:13" x14ac:dyDescent="0.35">
      <c r="A33" t="s">
        <v>53</v>
      </c>
      <c r="B33" t="s">
        <v>17</v>
      </c>
      <c r="C33">
        <v>16</v>
      </c>
      <c r="D33">
        <v>1673.07</v>
      </c>
      <c r="E33">
        <v>1892</v>
      </c>
      <c r="F33">
        <v>17.97</v>
      </c>
      <c r="G33">
        <v>359300000</v>
      </c>
      <c r="H33">
        <v>100</v>
      </c>
      <c r="I33">
        <v>27608</v>
      </c>
      <c r="J33">
        <v>3382537</v>
      </c>
      <c r="K33">
        <v>1.1000000000000001</v>
      </c>
      <c r="L33">
        <v>1</v>
      </c>
    </row>
    <row r="34" spans="1:13" x14ac:dyDescent="0.35">
      <c r="A34" t="s">
        <v>54</v>
      </c>
      <c r="B34" t="s">
        <v>18</v>
      </c>
      <c r="C34">
        <v>3</v>
      </c>
      <c r="D34">
        <v>1870.7</v>
      </c>
      <c r="E34">
        <v>2063</v>
      </c>
      <c r="F34">
        <v>11.65</v>
      </c>
      <c r="G34">
        <v>1520000000</v>
      </c>
      <c r="H34">
        <v>73.099999999999994</v>
      </c>
      <c r="I34">
        <v>52083</v>
      </c>
      <c r="J34">
        <v>66746401</v>
      </c>
      <c r="K34">
        <v>15.9</v>
      </c>
      <c r="L34">
        <v>16</v>
      </c>
      <c r="M34">
        <f t="shared" ref="M34" si="6">AVERAGE(C34:C37)</f>
        <v>26.5</v>
      </c>
    </row>
    <row r="35" spans="1:13" x14ac:dyDescent="0.35">
      <c r="A35" t="s">
        <v>55</v>
      </c>
      <c r="B35" t="s">
        <v>18</v>
      </c>
      <c r="C35">
        <v>15</v>
      </c>
      <c r="D35">
        <v>1684.07</v>
      </c>
      <c r="E35">
        <v>1860</v>
      </c>
      <c r="F35">
        <v>28.9</v>
      </c>
      <c r="G35">
        <v>478100000</v>
      </c>
      <c r="H35">
        <v>100</v>
      </c>
      <c r="I35">
        <v>2054</v>
      </c>
      <c r="J35">
        <v>19366548</v>
      </c>
      <c r="K35">
        <v>0.7</v>
      </c>
      <c r="L35">
        <v>1</v>
      </c>
    </row>
    <row r="36" spans="1:13" x14ac:dyDescent="0.35">
      <c r="A36" t="s">
        <v>56</v>
      </c>
      <c r="B36" t="s">
        <v>18</v>
      </c>
      <c r="C36">
        <v>57</v>
      </c>
      <c r="D36">
        <v>1446.28</v>
      </c>
      <c r="E36">
        <v>1618</v>
      </c>
      <c r="F36">
        <v>22.95</v>
      </c>
      <c r="G36">
        <v>21200000</v>
      </c>
      <c r="H36">
        <v>61.5</v>
      </c>
      <c r="I36">
        <v>5677</v>
      </c>
      <c r="J36">
        <v>48007437</v>
      </c>
      <c r="K36">
        <v>0.1</v>
      </c>
      <c r="L36">
        <v>0.1</v>
      </c>
    </row>
    <row r="37" spans="1:13" x14ac:dyDescent="0.35">
      <c r="A37" t="s">
        <v>57</v>
      </c>
      <c r="B37" t="s">
        <v>18</v>
      </c>
      <c r="C37">
        <v>31</v>
      </c>
      <c r="D37">
        <v>1557.44</v>
      </c>
      <c r="E37">
        <v>1914</v>
      </c>
      <c r="F37">
        <v>2.21</v>
      </c>
      <c r="G37">
        <v>589900000</v>
      </c>
      <c r="H37">
        <v>84.6</v>
      </c>
      <c r="I37">
        <v>105877</v>
      </c>
      <c r="J37">
        <v>5652989</v>
      </c>
      <c r="K37">
        <v>2.5</v>
      </c>
      <c r="L37">
        <v>2</v>
      </c>
    </row>
    <row r="38" spans="1:13" x14ac:dyDescent="0.35">
      <c r="A38" t="s">
        <v>58</v>
      </c>
      <c r="B38" t="s">
        <v>19</v>
      </c>
      <c r="C38">
        <v>1</v>
      </c>
      <c r="D38">
        <v>1877.27</v>
      </c>
      <c r="E38">
        <v>2114</v>
      </c>
      <c r="F38">
        <v>16.3</v>
      </c>
      <c r="G38">
        <v>782500000</v>
      </c>
      <c r="H38">
        <v>92.3</v>
      </c>
      <c r="I38">
        <v>14357</v>
      </c>
      <c r="J38">
        <v>46003734</v>
      </c>
      <c r="K38">
        <v>9</v>
      </c>
      <c r="L38">
        <v>9</v>
      </c>
      <c r="M38">
        <f t="shared" ref="M38" si="7">AVERAGE(C38:C41)</f>
        <v>29</v>
      </c>
    </row>
    <row r="39" spans="1:13" x14ac:dyDescent="0.35">
      <c r="A39" t="s">
        <v>59</v>
      </c>
      <c r="B39" t="s">
        <v>19</v>
      </c>
      <c r="C39">
        <v>28</v>
      </c>
      <c r="D39">
        <v>1571.03</v>
      </c>
      <c r="E39">
        <v>1760</v>
      </c>
      <c r="F39">
        <v>23.6</v>
      </c>
      <c r="G39">
        <v>256900000</v>
      </c>
      <c r="H39">
        <v>88.5</v>
      </c>
      <c r="I39">
        <v>6628</v>
      </c>
      <c r="J39">
        <v>48028334</v>
      </c>
      <c r="K39">
        <v>0.2</v>
      </c>
      <c r="L39">
        <v>0.1</v>
      </c>
    </row>
    <row r="40" spans="1:13" x14ac:dyDescent="0.35">
      <c r="A40" t="s">
        <v>60</v>
      </c>
      <c r="B40" t="s">
        <v>19</v>
      </c>
      <c r="C40">
        <v>24</v>
      </c>
      <c r="D40">
        <v>1597.4</v>
      </c>
      <c r="E40">
        <v>1830</v>
      </c>
      <c r="F40">
        <v>7.44</v>
      </c>
      <c r="G40">
        <v>242200000</v>
      </c>
      <c r="H40">
        <v>88</v>
      </c>
      <c r="I40">
        <v>67761</v>
      </c>
      <c r="J40">
        <v>9107266</v>
      </c>
      <c r="K40">
        <v>0.4</v>
      </c>
      <c r="L40">
        <v>0.1</v>
      </c>
    </row>
    <row r="41" spans="1:13" x14ac:dyDescent="0.35">
      <c r="A41" t="s">
        <v>61</v>
      </c>
      <c r="B41" t="s">
        <v>19</v>
      </c>
      <c r="C41">
        <v>63</v>
      </c>
      <c r="D41">
        <v>1387.74</v>
      </c>
      <c r="E41">
        <v>1680</v>
      </c>
      <c r="F41">
        <v>20.05</v>
      </c>
      <c r="G41">
        <v>20300000</v>
      </c>
      <c r="H41">
        <v>53.8</v>
      </c>
      <c r="I41">
        <v>5601</v>
      </c>
      <c r="J41">
        <v>11589532</v>
      </c>
      <c r="K41">
        <v>0.1</v>
      </c>
      <c r="L41">
        <v>0.1</v>
      </c>
    </row>
    <row r="42" spans="1:13" x14ac:dyDescent="0.35">
      <c r="A42" t="s">
        <v>62</v>
      </c>
      <c r="B42" t="s">
        <v>20</v>
      </c>
      <c r="C42">
        <v>15</v>
      </c>
      <c r="D42">
        <v>1766.18</v>
      </c>
      <c r="E42">
        <v>1986</v>
      </c>
      <c r="F42">
        <v>15.85</v>
      </c>
      <c r="G42">
        <v>1010000000</v>
      </c>
      <c r="H42">
        <v>80.8</v>
      </c>
      <c r="I42">
        <v>35434</v>
      </c>
      <c r="J42">
        <v>10395362</v>
      </c>
      <c r="K42">
        <v>11.3</v>
      </c>
      <c r="L42">
        <v>11</v>
      </c>
      <c r="M42">
        <f t="shared" ref="M42" si="8">AVERAGE(C42:C45)</f>
        <v>31</v>
      </c>
    </row>
    <row r="43" spans="1:13" x14ac:dyDescent="0.35">
      <c r="A43" t="s">
        <v>63</v>
      </c>
      <c r="B43" t="s">
        <v>20</v>
      </c>
      <c r="C43">
        <v>46</v>
      </c>
      <c r="D43">
        <v>1474.43</v>
      </c>
      <c r="E43">
        <v>1652</v>
      </c>
      <c r="F43">
        <v>24.35</v>
      </c>
      <c r="G43">
        <v>143900000</v>
      </c>
      <c r="H43">
        <v>100</v>
      </c>
      <c r="I43">
        <v>1122</v>
      </c>
      <c r="J43">
        <v>116452162</v>
      </c>
      <c r="K43">
        <v>0.1</v>
      </c>
      <c r="L43">
        <v>0.1</v>
      </c>
    </row>
    <row r="44" spans="1:13" x14ac:dyDescent="0.35">
      <c r="A44" t="s">
        <v>64</v>
      </c>
      <c r="B44" t="s">
        <v>20</v>
      </c>
      <c r="C44">
        <v>50</v>
      </c>
      <c r="D44">
        <v>1458.73</v>
      </c>
      <c r="E44">
        <v>1714</v>
      </c>
      <c r="F44">
        <v>13.06</v>
      </c>
      <c r="G44">
        <v>85330000</v>
      </c>
      <c r="H44">
        <v>42.3</v>
      </c>
      <c r="I44">
        <v>4661</v>
      </c>
      <c r="J44">
        <v>37724223</v>
      </c>
      <c r="K44">
        <v>0.1</v>
      </c>
      <c r="L44">
        <v>0.1</v>
      </c>
    </row>
    <row r="45" spans="1:13" x14ac:dyDescent="0.35">
      <c r="A45" t="s">
        <v>65</v>
      </c>
      <c r="B45" t="s">
        <v>20</v>
      </c>
      <c r="C45">
        <v>13</v>
      </c>
      <c r="D45">
        <v>1698.35</v>
      </c>
      <c r="E45">
        <v>1982</v>
      </c>
      <c r="F45">
        <v>25</v>
      </c>
      <c r="G45">
        <v>302350000</v>
      </c>
      <c r="H45">
        <v>96.2</v>
      </c>
      <c r="I45">
        <v>10104</v>
      </c>
      <c r="J45">
        <v>53936226</v>
      </c>
      <c r="K45">
        <v>2</v>
      </c>
      <c r="L45">
        <v>2</v>
      </c>
    </row>
    <row r="46" spans="1:13" x14ac:dyDescent="0.35">
      <c r="A46" t="s">
        <v>66</v>
      </c>
      <c r="B46" t="s">
        <v>21</v>
      </c>
      <c r="C46">
        <v>4</v>
      </c>
      <c r="D46">
        <v>1827.05</v>
      </c>
      <c r="E46">
        <v>2021</v>
      </c>
      <c r="F46">
        <v>9.24</v>
      </c>
      <c r="G46">
        <v>1360000000</v>
      </c>
      <c r="H46">
        <v>19.2</v>
      </c>
      <c r="I46">
        <v>61056</v>
      </c>
      <c r="J46">
        <v>58620100</v>
      </c>
      <c r="K46">
        <v>10.8</v>
      </c>
      <c r="L46">
        <v>11</v>
      </c>
      <c r="M46">
        <f t="shared" ref="M46" si="9">AVERAGE(C46:C49)</f>
        <v>30.5</v>
      </c>
    </row>
    <row r="47" spans="1:13" x14ac:dyDescent="0.35">
      <c r="A47" t="s">
        <v>67</v>
      </c>
      <c r="B47" t="s">
        <v>21</v>
      </c>
      <c r="C47">
        <v>11</v>
      </c>
      <c r="D47">
        <v>1714.87</v>
      </c>
      <c r="E47">
        <v>1912</v>
      </c>
      <c r="F47">
        <v>11.96</v>
      </c>
      <c r="G47">
        <v>387300000</v>
      </c>
      <c r="H47">
        <v>92.3</v>
      </c>
      <c r="I47">
        <v>30030</v>
      </c>
      <c r="J47">
        <v>3822345</v>
      </c>
      <c r="K47">
        <v>0.8</v>
      </c>
      <c r="L47">
        <v>1</v>
      </c>
    </row>
    <row r="48" spans="1:13" x14ac:dyDescent="0.35">
      <c r="A48" t="s">
        <v>68</v>
      </c>
      <c r="B48" t="s">
        <v>21</v>
      </c>
      <c r="C48">
        <v>73</v>
      </c>
      <c r="D48">
        <v>1346.88</v>
      </c>
      <c r="E48">
        <v>1510</v>
      </c>
      <c r="F48">
        <v>27.66</v>
      </c>
      <c r="G48">
        <v>234600000</v>
      </c>
      <c r="H48">
        <v>96.3</v>
      </c>
      <c r="I48">
        <v>3314</v>
      </c>
      <c r="J48">
        <v>35697557</v>
      </c>
      <c r="K48">
        <v>0.2</v>
      </c>
      <c r="L48">
        <v>0.1</v>
      </c>
    </row>
    <row r="49" spans="1:12" x14ac:dyDescent="0.35">
      <c r="A49" t="s">
        <v>69</v>
      </c>
      <c r="B49" t="s">
        <v>21</v>
      </c>
      <c r="C49">
        <v>34</v>
      </c>
      <c r="D49">
        <v>1539.16</v>
      </c>
      <c r="E49">
        <v>1730</v>
      </c>
      <c r="F49">
        <v>25.6</v>
      </c>
      <c r="G49">
        <v>34550000</v>
      </c>
      <c r="H49">
        <v>92.3</v>
      </c>
      <c r="I49">
        <v>20564</v>
      </c>
      <c r="J49">
        <v>4625718</v>
      </c>
      <c r="K49">
        <v>0.1</v>
      </c>
      <c r="L49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Okech</dc:creator>
  <cp:lastModifiedBy>William Okech</cp:lastModifiedBy>
  <dcterms:created xsi:type="dcterms:W3CDTF">2026-06-10T17:30:53Z</dcterms:created>
  <dcterms:modified xsi:type="dcterms:W3CDTF">2026-06-11T13:23:43Z</dcterms:modified>
</cp:coreProperties>
</file>