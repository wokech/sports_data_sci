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sports_data_sci\sub_pro_16_wc_2026_pred\datasets\"/>
    </mc:Choice>
  </mc:AlternateContent>
  <xr:revisionPtr revIDLastSave="0" documentId="13_ncr:1_{F143E622-2BC9-4849-816D-66D28E9D4ABA}" xr6:coauthVersionLast="47" xr6:coauthVersionMax="47" xr10:uidLastSave="{00000000-0000-0000-0000-000000000000}"/>
  <bookViews>
    <workbookView xWindow="-110" yWindow="-110" windowWidth="19420" windowHeight="10420" xr2:uid="{72156297-1BEC-4461-8C11-7AA6EA13B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1" l="1"/>
  <c r="M14" i="1"/>
  <c r="M18" i="1"/>
  <c r="M22" i="1"/>
  <c r="M26" i="1"/>
  <c r="M30" i="1"/>
  <c r="M34" i="1"/>
  <c r="M38" i="1"/>
  <c r="M42" i="1"/>
  <c r="M46" i="1"/>
  <c r="M6" i="1"/>
  <c r="M2" i="1"/>
</calcChain>
</file>

<file path=xl/sharedStrings.xml><?xml version="1.0" encoding="utf-8"?>
<sst xmlns="http://schemas.openxmlformats.org/spreadsheetml/2006/main" count="109" uniqueCount="73">
  <si>
    <t>Country</t>
  </si>
  <si>
    <t>Group</t>
  </si>
  <si>
    <t>FIFA Ranking</t>
  </si>
  <si>
    <t>FIFA Ranking Points</t>
  </si>
  <si>
    <t>ELO Rating</t>
  </si>
  <si>
    <t>GDP Per Capita</t>
  </si>
  <si>
    <t>Population</t>
  </si>
  <si>
    <t>Percent Foreigners</t>
  </si>
  <si>
    <t>Average Yearly Temp</t>
  </si>
  <si>
    <t>Team Value (Euros)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</si>
  <si>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</si>
  <si>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</si>
  <si>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</si>
  <si>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</si>
  <si>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</si>
  <si>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</si>
  <si>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</si>
  <si>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</si>
  <si>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</si>
  <si>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</si>
  <si>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</si>
  <si>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</si>
  <si>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Mexico</t>
  </si>
  <si>
    <t>South Africa</t>
  </si>
  <si>
    <t>South Korea</t>
  </si>
  <si>
    <t>Czechia</t>
  </si>
  <si>
    <t>Canada</t>
  </si>
  <si>
    <t>Bosnia-Herzegovina</t>
  </si>
  <si>
    <t>Qatar</t>
  </si>
  <si>
    <t>Switzerland</t>
  </si>
  <si>
    <t>Brazil</t>
  </si>
  <si>
    <t>Morocco</t>
  </si>
  <si>
    <t>Haiti</t>
  </si>
  <si>
    <t>Scotland</t>
  </si>
  <si>
    <t>USA</t>
  </si>
  <si>
    <t>Paraguay</t>
  </si>
  <si>
    <t>Australia</t>
  </si>
  <si>
    <t>Turkiye</t>
  </si>
  <si>
    <t>Germany</t>
  </si>
  <si>
    <t>Curacao</t>
  </si>
  <si>
    <t>Ivory Coast</t>
  </si>
  <si>
    <t>Ecuador</t>
  </si>
  <si>
    <t>Netherlands</t>
  </si>
  <si>
    <t>Japan</t>
  </si>
  <si>
    <t>Sweden</t>
  </si>
  <si>
    <t>Tunisia</t>
  </si>
  <si>
    <t>Belgium</t>
  </si>
  <si>
    <t>Egypt</t>
  </si>
  <si>
    <t>Iran</t>
  </si>
  <si>
    <t>New Zealand</t>
  </si>
  <si>
    <t xml:space="preserve">Spain </t>
  </si>
  <si>
    <t>Cabo Verde</t>
  </si>
  <si>
    <t>Saudi Arabia</t>
  </si>
  <si>
    <t>Uruguay</t>
  </si>
  <si>
    <t xml:space="preserve">France </t>
  </si>
  <si>
    <t>Senegal</t>
  </si>
  <si>
    <t>Iraq</t>
  </si>
  <si>
    <t>Norway</t>
  </si>
  <si>
    <t>Argentina</t>
  </si>
  <si>
    <t>Algeria</t>
  </si>
  <si>
    <t>Austria</t>
  </si>
  <si>
    <t>Jordan</t>
  </si>
  <si>
    <t>Portugal</t>
  </si>
  <si>
    <t>DR Congo</t>
  </si>
  <si>
    <t>Uzbekistan</t>
  </si>
  <si>
    <t>Colombia</t>
  </si>
  <si>
    <t>England</t>
  </si>
  <si>
    <t>Croatia</t>
  </si>
  <si>
    <t>Ghana</t>
  </si>
  <si>
    <t>Panama</t>
  </si>
  <si>
    <t>Kalshi Odds (%)</t>
  </si>
  <si>
    <t>Polymarket Odds (%)</t>
  </si>
  <si>
    <t>Average FIFA Ranking Per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</si>
</sst>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Helvetica"/>
    </font>
    <font>
      <b/>
      <sz val="11"/>
      <name val="Helvetica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72A7-F655-44BA-A20F-DEE028201F31}">
  <dimension ref="A1:M49"/>
  <sheetViews>
    <sheetView tabSelected="1" workbookViewId="0">
      <pane xSplit="1" topLeftCell="E1" activePane="topRight" state="frozen"/>
      <selection pane="topRight" activeCell="J49" sqref="J49"/>
    </sheetView>
  </sheetViews>
  <sheetFormatPr defaultRowHeight="14.5" x14ac:dyDescent="0.35"/>
  <cols>
    <col min="1" max="1" width="18.81640625" bestFit="1" customWidth="1"/>
    <col min="2" max="2" width="6.6328125" bestFit="1" customWidth="1"/>
    <col min="3" max="3" width="13.26953125" bestFit="1" customWidth="1"/>
    <col min="4" max="4" width="19.81640625" bestFit="1" customWidth="1"/>
    <col min="5" max="5" width="11.453125" bestFit="1" customWidth="1"/>
    <col min="6" max="6" width="20.90625" bestFit="1" customWidth="1"/>
    <col min="7" max="7" width="19.36328125" bestFit="1" customWidth="1"/>
    <col min="8" max="8" width="18.6328125" bestFit="1" customWidth="1"/>
    <col min="9" max="9" width="15.453125" bestFit="1" customWidth="1"/>
    <col min="10" max="10" width="10.7265625" bestFit="1" customWidth="1"/>
    <col min="11" max="11" width="15.6328125" bestFit="1" customWidth="1"/>
    <col min="12" max="12" width="20.36328125" bestFit="1" customWidth="1"/>
    <col min="13" max="13" width="32" bestFit="1" customWidth="1"/>
    <col min="14" max="14" width="20.269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7</v>
      </c>
      <c r="I1" s="1" t="s">
        <v>5</v>
      </c>
      <c r="J1" s="1" t="s">
        <v>6</v>
      </c>
      <c r="K1" s="2" t="s">
        <v>70</v>
      </c>
      <c r="L1" s="2" t="s">
        <v>71</v>
      </c>
      <c r="M1" s="1" t="s">
        <v>72</v>
      </c>
    </row>
    <row r="2" spans="1:13" x14ac:dyDescent="0.35">
      <c r="A2" s="3" t="s">
        <v>22</v>
      </c>
      <c r="B2" s="3" t="s">
        <v>10</v>
      </c>
      <c r="C2" s="3">
        <v>14</v>
      </c>
      <c r="D2" s="3">
        <v>1687.48</v>
      </c>
      <c r="E2" s="3">
        <v>1875</v>
      </c>
      <c r="F2" s="3">
        <v>21.31</v>
      </c>
      <c r="G2" s="3">
        <v>191850000</v>
      </c>
      <c r="H2" s="3">
        <v>53.8</v>
      </c>
      <c r="I2" s="3">
        <v>15779</v>
      </c>
      <c r="J2" s="3">
        <v>132997658</v>
      </c>
      <c r="K2" s="3">
        <v>2.5</v>
      </c>
      <c r="L2" s="3">
        <v>1</v>
      </c>
      <c r="M2" s="3">
        <f>AVERAGE(C2:C5)</f>
        <v>34.75</v>
      </c>
    </row>
    <row r="3" spans="1:13" x14ac:dyDescent="0.35">
      <c r="A3" s="3" t="s">
        <v>23</v>
      </c>
      <c r="B3" s="3" t="s">
        <v>10</v>
      </c>
      <c r="C3" s="3">
        <v>60</v>
      </c>
      <c r="D3" s="3">
        <v>1428.38</v>
      </c>
      <c r="E3" s="3">
        <v>1517</v>
      </c>
      <c r="F3" s="3">
        <v>18.23</v>
      </c>
      <c r="G3" s="3">
        <v>49250000</v>
      </c>
      <c r="H3" s="3">
        <v>26.9</v>
      </c>
      <c r="I3" s="3">
        <v>7503</v>
      </c>
      <c r="J3" s="3">
        <v>65453084</v>
      </c>
      <c r="K3" s="3">
        <v>0.1</v>
      </c>
      <c r="L3" s="3">
        <v>0.1</v>
      </c>
      <c r="M3" s="3"/>
    </row>
    <row r="4" spans="1:13" x14ac:dyDescent="0.35">
      <c r="A4" s="3" t="s">
        <v>24</v>
      </c>
      <c r="B4" s="3" t="s">
        <v>10</v>
      </c>
      <c r="C4" s="3">
        <v>25</v>
      </c>
      <c r="D4" s="3">
        <v>1591.63</v>
      </c>
      <c r="E4" s="3">
        <v>1758</v>
      </c>
      <c r="F4" s="3">
        <v>12.22</v>
      </c>
      <c r="G4" s="3">
        <v>139050000</v>
      </c>
      <c r="H4" s="3">
        <v>73.099999999999994</v>
      </c>
      <c r="I4" s="3">
        <v>37412</v>
      </c>
      <c r="J4" s="3">
        <v>51600388</v>
      </c>
      <c r="K4" s="3">
        <v>0.3</v>
      </c>
      <c r="L4" s="3">
        <v>0.1</v>
      </c>
      <c r="M4" s="3"/>
    </row>
    <row r="5" spans="1:13" x14ac:dyDescent="0.35">
      <c r="A5" s="3" t="s">
        <v>25</v>
      </c>
      <c r="B5" s="3" t="s">
        <v>10</v>
      </c>
      <c r="C5" s="3">
        <v>40</v>
      </c>
      <c r="D5" s="3">
        <v>1505.74</v>
      </c>
      <c r="E5" s="3">
        <v>1740</v>
      </c>
      <c r="F5" s="3">
        <v>8.6</v>
      </c>
      <c r="G5" s="3">
        <v>188180000</v>
      </c>
      <c r="H5" s="3">
        <v>34.6</v>
      </c>
      <c r="I5" s="3">
        <v>39795</v>
      </c>
      <c r="J5" s="3">
        <v>10527781</v>
      </c>
      <c r="K5" s="3">
        <v>0.1</v>
      </c>
      <c r="L5" s="3">
        <v>0.1</v>
      </c>
      <c r="M5" s="3"/>
    </row>
    <row r="6" spans="1:13" x14ac:dyDescent="0.35">
      <c r="A6" s="3" t="s">
        <v>26</v>
      </c>
      <c r="B6" s="3" t="s">
        <v>11</v>
      </c>
      <c r="C6" s="3">
        <v>30</v>
      </c>
      <c r="D6" s="3">
        <v>1559.48</v>
      </c>
      <c r="E6" s="3">
        <v>1788</v>
      </c>
      <c r="F6" s="3">
        <v>-4.03</v>
      </c>
      <c r="G6" s="3">
        <v>198650000</v>
      </c>
      <c r="H6" s="3">
        <v>92.3</v>
      </c>
      <c r="I6" s="3">
        <v>60305</v>
      </c>
      <c r="J6" s="3">
        <v>40467728</v>
      </c>
      <c r="K6" s="3">
        <v>0.4</v>
      </c>
      <c r="L6" s="3">
        <v>0.1</v>
      </c>
      <c r="M6" s="3">
        <f>AVERAGE(C6:C9)</f>
        <v>42.25</v>
      </c>
    </row>
    <row r="7" spans="1:13" x14ac:dyDescent="0.35">
      <c r="A7" s="3" t="s">
        <v>27</v>
      </c>
      <c r="B7" s="3" t="s">
        <v>11</v>
      </c>
      <c r="C7" s="3">
        <v>64</v>
      </c>
      <c r="D7" s="3">
        <v>1387.22</v>
      </c>
      <c r="E7" s="3">
        <v>1595</v>
      </c>
      <c r="F7" s="3">
        <v>10.35</v>
      </c>
      <c r="G7" s="3">
        <v>151600000</v>
      </c>
      <c r="H7" s="3">
        <v>96.2</v>
      </c>
      <c r="I7" s="3">
        <v>10701</v>
      </c>
      <c r="J7" s="3">
        <v>3114242</v>
      </c>
      <c r="K7" s="3">
        <v>0.1</v>
      </c>
      <c r="L7" s="3">
        <v>0.1</v>
      </c>
      <c r="M7" s="3"/>
    </row>
    <row r="8" spans="1:13" x14ac:dyDescent="0.35">
      <c r="A8" s="3" t="s">
        <v>28</v>
      </c>
      <c r="B8" s="3" t="s">
        <v>11</v>
      </c>
      <c r="C8" s="3">
        <v>56</v>
      </c>
      <c r="D8" s="3">
        <v>1450.31</v>
      </c>
      <c r="E8" s="3">
        <v>1421</v>
      </c>
      <c r="F8" s="3">
        <v>28.02</v>
      </c>
      <c r="G8" s="3">
        <v>19930000</v>
      </c>
      <c r="H8" s="3">
        <v>3.8</v>
      </c>
      <c r="I8" s="3">
        <v>68138</v>
      </c>
      <c r="J8" s="3">
        <v>3173559</v>
      </c>
      <c r="K8" s="3">
        <v>0.1</v>
      </c>
      <c r="L8" s="3">
        <v>0.1</v>
      </c>
      <c r="M8" s="3"/>
    </row>
    <row r="9" spans="1:13" x14ac:dyDescent="0.35">
      <c r="A9" s="3" t="s">
        <v>29</v>
      </c>
      <c r="B9" s="3" t="s">
        <v>11</v>
      </c>
      <c r="C9" s="3">
        <v>19</v>
      </c>
      <c r="D9" s="3">
        <v>1650.06</v>
      </c>
      <c r="E9" s="3">
        <v>1891</v>
      </c>
      <c r="F9" s="3">
        <v>6.47</v>
      </c>
      <c r="G9" s="3">
        <v>332500000</v>
      </c>
      <c r="H9" s="3">
        <v>92.3</v>
      </c>
      <c r="I9" s="3">
        <v>126177</v>
      </c>
      <c r="J9" s="3">
        <v>9007798</v>
      </c>
      <c r="K9" s="3">
        <v>1</v>
      </c>
      <c r="L9" s="3">
        <v>1</v>
      </c>
      <c r="M9" s="3"/>
    </row>
    <row r="10" spans="1:13" x14ac:dyDescent="0.35">
      <c r="A10" s="3" t="s">
        <v>30</v>
      </c>
      <c r="B10" s="3" t="s">
        <v>12</v>
      </c>
      <c r="C10" s="3">
        <v>6</v>
      </c>
      <c r="D10" s="3">
        <v>1765.86</v>
      </c>
      <c r="E10" s="3">
        <v>1991</v>
      </c>
      <c r="F10" s="3">
        <v>25.44</v>
      </c>
      <c r="G10" s="3">
        <v>928200000</v>
      </c>
      <c r="H10" s="3">
        <v>73.099999999999994</v>
      </c>
      <c r="I10" s="3">
        <v>12313</v>
      </c>
      <c r="J10" s="3">
        <v>213562666</v>
      </c>
      <c r="K10" s="3">
        <v>8.6999999999999993</v>
      </c>
      <c r="L10" s="3">
        <v>8</v>
      </c>
      <c r="M10" s="3">
        <f t="shared" ref="M10" si="0">AVERAGE(C10:C13)</f>
        <v>34.5</v>
      </c>
    </row>
    <row r="11" spans="1:13" x14ac:dyDescent="0.35">
      <c r="A11" s="3" t="s">
        <v>31</v>
      </c>
      <c r="B11" s="3" t="s">
        <v>12</v>
      </c>
      <c r="C11" s="3">
        <v>7</v>
      </c>
      <c r="D11" s="3">
        <v>1755.1</v>
      </c>
      <c r="E11" s="3">
        <v>1827</v>
      </c>
      <c r="F11" s="3">
        <v>18.14</v>
      </c>
      <c r="G11" s="3">
        <v>498300000</v>
      </c>
      <c r="H11" s="3">
        <v>92.3</v>
      </c>
      <c r="I11" s="3">
        <v>5107</v>
      </c>
      <c r="J11" s="3">
        <v>38762441</v>
      </c>
      <c r="K11" s="3">
        <v>1.6</v>
      </c>
      <c r="L11" s="3">
        <v>2</v>
      </c>
      <c r="M11" s="3"/>
    </row>
    <row r="12" spans="1:13" x14ac:dyDescent="0.35">
      <c r="A12" s="3" t="s">
        <v>32</v>
      </c>
      <c r="B12" s="3" t="s">
        <v>12</v>
      </c>
      <c r="C12" s="3">
        <v>83</v>
      </c>
      <c r="D12" s="3">
        <v>1293.0999999999999</v>
      </c>
      <c r="E12" s="3">
        <v>1548</v>
      </c>
      <c r="F12" s="3">
        <v>24.95</v>
      </c>
      <c r="G12" s="3">
        <v>55900000</v>
      </c>
      <c r="H12" s="3">
        <v>96.2</v>
      </c>
      <c r="I12" s="3">
        <v>3079</v>
      </c>
      <c r="J12" s="3">
        <v>12037506</v>
      </c>
      <c r="K12" s="3">
        <v>0.1</v>
      </c>
      <c r="L12" s="3">
        <v>0.1</v>
      </c>
      <c r="M12" s="3"/>
    </row>
    <row r="13" spans="1:13" x14ac:dyDescent="0.35">
      <c r="A13" s="3" t="s">
        <v>33</v>
      </c>
      <c r="B13" s="3" t="s">
        <v>12</v>
      </c>
      <c r="C13" s="3">
        <v>42</v>
      </c>
      <c r="D13" s="3">
        <v>1503.34</v>
      </c>
      <c r="E13" s="3">
        <v>1782</v>
      </c>
      <c r="F13" s="3">
        <v>9.24</v>
      </c>
      <c r="G13" s="3">
        <v>170250000</v>
      </c>
      <c r="H13" s="3">
        <v>69.2</v>
      </c>
      <c r="I13" s="3">
        <v>61056</v>
      </c>
      <c r="J13" s="3">
        <v>5546900</v>
      </c>
      <c r="K13" s="3">
        <v>0.3</v>
      </c>
      <c r="L13" s="3">
        <v>0.1</v>
      </c>
      <c r="M13" s="3"/>
    </row>
    <row r="14" spans="1:13" x14ac:dyDescent="0.35">
      <c r="A14" s="3" t="s">
        <v>34</v>
      </c>
      <c r="B14" s="3" t="s">
        <v>13</v>
      </c>
      <c r="C14" s="3">
        <v>17</v>
      </c>
      <c r="D14" s="3">
        <v>1671.23</v>
      </c>
      <c r="E14" s="3">
        <v>1726</v>
      </c>
      <c r="F14" s="3">
        <v>9.4600000000000009</v>
      </c>
      <c r="G14" s="3">
        <v>385650000</v>
      </c>
      <c r="H14" s="3">
        <v>73.099999999999994</v>
      </c>
      <c r="I14" s="3">
        <v>94430</v>
      </c>
      <c r="J14" s="3">
        <v>349035494</v>
      </c>
      <c r="K14" s="3">
        <v>1.7</v>
      </c>
      <c r="L14" s="3">
        <v>1</v>
      </c>
      <c r="M14" s="3">
        <f t="shared" ref="M14" si="1">AVERAGE(C14:C17)</f>
        <v>26.75</v>
      </c>
    </row>
    <row r="15" spans="1:13" x14ac:dyDescent="0.35">
      <c r="A15" s="3" t="s">
        <v>35</v>
      </c>
      <c r="B15" s="3" t="s">
        <v>13</v>
      </c>
      <c r="C15" s="3">
        <v>41</v>
      </c>
      <c r="D15" s="3">
        <v>1505.35</v>
      </c>
      <c r="E15" s="3">
        <v>1834</v>
      </c>
      <c r="F15" s="3">
        <v>23.92</v>
      </c>
      <c r="G15" s="3">
        <v>153650000</v>
      </c>
      <c r="H15" s="3">
        <v>88.5</v>
      </c>
      <c r="I15" s="3">
        <v>9372</v>
      </c>
      <c r="J15" s="3">
        <v>7095279</v>
      </c>
      <c r="K15" s="3">
        <v>0.3</v>
      </c>
      <c r="L15" s="3">
        <v>0.1</v>
      </c>
      <c r="M15" s="3"/>
    </row>
    <row r="16" spans="1:13" x14ac:dyDescent="0.35">
      <c r="A16" s="3" t="s">
        <v>36</v>
      </c>
      <c r="B16" s="3" t="s">
        <v>13</v>
      </c>
      <c r="C16" s="3">
        <v>27</v>
      </c>
      <c r="D16" s="3">
        <v>1579.34</v>
      </c>
      <c r="E16" s="3">
        <v>1777</v>
      </c>
      <c r="F16" s="3">
        <v>22.05</v>
      </c>
      <c r="G16" s="3">
        <v>77450000</v>
      </c>
      <c r="H16" s="3">
        <v>80.8</v>
      </c>
      <c r="I16" s="3">
        <v>75648</v>
      </c>
      <c r="J16" s="3">
        <v>27227096</v>
      </c>
      <c r="K16" s="3">
        <v>0.2</v>
      </c>
      <c r="L16" s="3">
        <v>0.1</v>
      </c>
      <c r="M16" s="3"/>
    </row>
    <row r="17" spans="1:13" x14ac:dyDescent="0.35">
      <c r="A17" s="3" t="s">
        <v>37</v>
      </c>
      <c r="B17" s="3" t="s">
        <v>13</v>
      </c>
      <c r="C17" s="3">
        <v>22</v>
      </c>
      <c r="D17" s="3">
        <v>1605.73</v>
      </c>
      <c r="E17" s="3">
        <v>1911</v>
      </c>
      <c r="F17" s="3">
        <v>11.66</v>
      </c>
      <c r="G17" s="3">
        <v>473700000</v>
      </c>
      <c r="H17" s="3">
        <v>42.3</v>
      </c>
      <c r="I17" s="3">
        <v>19018</v>
      </c>
      <c r="J17" s="3">
        <v>87926082</v>
      </c>
      <c r="K17" s="3">
        <v>1</v>
      </c>
      <c r="L17" s="3">
        <v>1</v>
      </c>
      <c r="M17" s="3"/>
    </row>
    <row r="18" spans="1:13" x14ac:dyDescent="0.35">
      <c r="A18" s="3" t="s">
        <v>38</v>
      </c>
      <c r="B18" s="3" t="s">
        <v>14</v>
      </c>
      <c r="C18" s="3">
        <v>10</v>
      </c>
      <c r="D18" s="3">
        <v>1735.77</v>
      </c>
      <c r="E18" s="3">
        <v>1932</v>
      </c>
      <c r="F18" s="3">
        <v>9.59</v>
      </c>
      <c r="G18" s="3">
        <v>947000000</v>
      </c>
      <c r="H18" s="3">
        <v>26.9</v>
      </c>
      <c r="I18" s="3">
        <v>65303</v>
      </c>
      <c r="J18" s="3">
        <v>83644258</v>
      </c>
      <c r="K18" s="3">
        <v>5.6</v>
      </c>
      <c r="L18" s="3">
        <v>5</v>
      </c>
      <c r="M18" s="3">
        <f t="shared" ref="M18" si="2">AVERAGE(C18:C21)</f>
        <v>37</v>
      </c>
    </row>
    <row r="19" spans="1:13" x14ac:dyDescent="0.35">
      <c r="A19" s="3" t="s">
        <v>39</v>
      </c>
      <c r="B19" s="3" t="s">
        <v>14</v>
      </c>
      <c r="C19" s="3">
        <v>82</v>
      </c>
      <c r="D19" s="3">
        <v>1294.77</v>
      </c>
      <c r="E19" s="3">
        <v>1434</v>
      </c>
      <c r="F19" s="3">
        <v>28.4</v>
      </c>
      <c r="G19" s="3">
        <v>25780000</v>
      </c>
      <c r="H19" s="3">
        <v>100</v>
      </c>
      <c r="I19" s="3">
        <v>21062</v>
      </c>
      <c r="J19" s="3">
        <v>185440</v>
      </c>
      <c r="K19" s="3">
        <v>0.1</v>
      </c>
      <c r="L19" s="3">
        <v>0.1</v>
      </c>
      <c r="M19" s="3"/>
    </row>
    <row r="20" spans="1:13" x14ac:dyDescent="0.35">
      <c r="A20" s="3" t="s">
        <v>40</v>
      </c>
      <c r="B20" s="3" t="s">
        <v>14</v>
      </c>
      <c r="C20" s="3">
        <v>33</v>
      </c>
      <c r="D20" s="3">
        <v>1540.87</v>
      </c>
      <c r="E20" s="3">
        <v>1695</v>
      </c>
      <c r="F20" s="3">
        <v>26.8</v>
      </c>
      <c r="G20" s="3">
        <v>522100000</v>
      </c>
      <c r="H20" s="3">
        <v>100</v>
      </c>
      <c r="I20" s="3">
        <v>3313</v>
      </c>
      <c r="J20" s="3">
        <v>33494346</v>
      </c>
      <c r="K20" s="3">
        <v>0.4</v>
      </c>
      <c r="L20" s="3">
        <v>0.1</v>
      </c>
      <c r="M20" s="3"/>
    </row>
    <row r="21" spans="1:13" x14ac:dyDescent="0.35">
      <c r="A21" s="3" t="s">
        <v>41</v>
      </c>
      <c r="B21" s="3" t="s">
        <v>14</v>
      </c>
      <c r="C21" s="3">
        <v>23</v>
      </c>
      <c r="D21" s="3">
        <v>1598.52</v>
      </c>
      <c r="E21" s="3">
        <v>1938</v>
      </c>
      <c r="F21" s="3">
        <v>21.43</v>
      </c>
      <c r="G21" s="3">
        <v>368700000</v>
      </c>
      <c r="H21" s="3">
        <v>92.3</v>
      </c>
      <c r="I21" s="3">
        <v>7575</v>
      </c>
      <c r="J21" s="3">
        <v>18444506</v>
      </c>
      <c r="K21" s="3">
        <v>1</v>
      </c>
      <c r="L21" s="3">
        <v>1</v>
      </c>
      <c r="M21" s="3"/>
    </row>
    <row r="22" spans="1:13" x14ac:dyDescent="0.35">
      <c r="A22" s="3" t="s">
        <v>42</v>
      </c>
      <c r="B22" s="3" t="s">
        <v>15</v>
      </c>
      <c r="C22" s="3">
        <v>8</v>
      </c>
      <c r="D22" s="3">
        <v>1753.57</v>
      </c>
      <c r="E22" s="3">
        <v>1948</v>
      </c>
      <c r="F22" s="3">
        <v>10.49</v>
      </c>
      <c r="G22" s="3">
        <v>754200000</v>
      </c>
      <c r="H22" s="3">
        <v>92.3</v>
      </c>
      <c r="I22" s="3">
        <v>79918</v>
      </c>
      <c r="J22" s="3">
        <v>18448775</v>
      </c>
      <c r="K22" s="3">
        <v>5.2</v>
      </c>
      <c r="L22" s="3">
        <v>4</v>
      </c>
      <c r="M22" s="3">
        <f t="shared" ref="M22" si="3">AVERAGE(C22:C25)</f>
        <v>27.25</v>
      </c>
    </row>
    <row r="23" spans="1:13" x14ac:dyDescent="0.35">
      <c r="A23" s="3" t="s">
        <v>43</v>
      </c>
      <c r="B23" s="3" t="s">
        <v>15</v>
      </c>
      <c r="C23" s="3">
        <v>18</v>
      </c>
      <c r="D23" s="3">
        <v>1661.58</v>
      </c>
      <c r="E23" s="3">
        <v>1906</v>
      </c>
      <c r="F23" s="3">
        <v>11.78</v>
      </c>
      <c r="G23" s="3">
        <v>270850000</v>
      </c>
      <c r="H23" s="3">
        <v>88.5</v>
      </c>
      <c r="I23" s="3">
        <v>35703</v>
      </c>
      <c r="J23" s="3">
        <v>122427731</v>
      </c>
      <c r="K23" s="3">
        <v>1.7</v>
      </c>
      <c r="L23" s="3">
        <v>2</v>
      </c>
      <c r="M23" s="3"/>
    </row>
    <row r="24" spans="1:13" x14ac:dyDescent="0.35">
      <c r="A24" s="3" t="s">
        <v>44</v>
      </c>
      <c r="B24" s="3" t="s">
        <v>15</v>
      </c>
      <c r="C24" s="3">
        <v>38</v>
      </c>
      <c r="D24" s="3">
        <v>1509.79</v>
      </c>
      <c r="E24" s="3">
        <v>1712</v>
      </c>
      <c r="F24" s="3">
        <v>3.23</v>
      </c>
      <c r="G24" s="3">
        <v>406080000</v>
      </c>
      <c r="H24" s="3">
        <v>88.5</v>
      </c>
      <c r="I24" s="3">
        <v>70676</v>
      </c>
      <c r="J24" s="3">
        <v>10701047</v>
      </c>
      <c r="K24" s="3">
        <v>0.4</v>
      </c>
      <c r="L24" s="3">
        <v>0.1</v>
      </c>
      <c r="M24" s="3"/>
    </row>
    <row r="25" spans="1:13" x14ac:dyDescent="0.35">
      <c r="A25" s="3" t="s">
        <v>45</v>
      </c>
      <c r="B25" s="3" t="s">
        <v>15</v>
      </c>
      <c r="C25" s="3">
        <v>45</v>
      </c>
      <c r="D25" s="3">
        <v>1476.41</v>
      </c>
      <c r="E25" s="3">
        <v>1628</v>
      </c>
      <c r="F25" s="3">
        <v>20.52</v>
      </c>
      <c r="G25" s="3">
        <v>69950000</v>
      </c>
      <c r="H25" s="3">
        <v>76.900000000000006</v>
      </c>
      <c r="I25" s="3">
        <v>4893</v>
      </c>
      <c r="J25" s="3">
        <v>12415138</v>
      </c>
      <c r="K25" s="3">
        <v>0.1</v>
      </c>
      <c r="L25" s="3">
        <v>0.1</v>
      </c>
      <c r="M25" s="3"/>
    </row>
    <row r="26" spans="1:13" x14ac:dyDescent="0.35">
      <c r="A26" s="3" t="s">
        <v>46</v>
      </c>
      <c r="B26" s="3" t="s">
        <v>16</v>
      </c>
      <c r="C26" s="3">
        <v>9</v>
      </c>
      <c r="D26" s="3">
        <v>1742.24</v>
      </c>
      <c r="E26" s="3">
        <v>1894</v>
      </c>
      <c r="F26" s="3">
        <v>10.67</v>
      </c>
      <c r="G26" s="3">
        <v>547500000</v>
      </c>
      <c r="H26" s="3">
        <v>88.5</v>
      </c>
      <c r="I26" s="3">
        <v>65112</v>
      </c>
      <c r="J26" s="3">
        <v>11774642</v>
      </c>
      <c r="K26" s="3">
        <v>2.2999999999999998</v>
      </c>
      <c r="L26" s="3">
        <v>2</v>
      </c>
      <c r="M26" s="3">
        <f t="shared" ref="M26" si="4">AVERAGE(C26:C29)</f>
        <v>35.75</v>
      </c>
    </row>
    <row r="27" spans="1:13" x14ac:dyDescent="0.35">
      <c r="A27" s="3" t="s">
        <v>47</v>
      </c>
      <c r="B27" s="3" t="s">
        <v>16</v>
      </c>
      <c r="C27" s="3">
        <v>29</v>
      </c>
      <c r="D27" s="3">
        <v>1562.37</v>
      </c>
      <c r="E27" s="3">
        <v>1696</v>
      </c>
      <c r="F27" s="3">
        <v>23.14</v>
      </c>
      <c r="G27" s="3">
        <v>116480000</v>
      </c>
      <c r="H27" s="3">
        <v>34.6</v>
      </c>
      <c r="I27" s="3">
        <v>3904</v>
      </c>
      <c r="J27" s="3">
        <v>120101175</v>
      </c>
      <c r="K27" s="3">
        <v>0.2</v>
      </c>
      <c r="L27" s="3">
        <v>0.1</v>
      </c>
      <c r="M27" s="3"/>
    </row>
    <row r="28" spans="1:13" x14ac:dyDescent="0.35">
      <c r="A28" s="3" t="s">
        <v>48</v>
      </c>
      <c r="B28" s="3" t="s">
        <v>16</v>
      </c>
      <c r="C28" s="3">
        <v>20</v>
      </c>
      <c r="D28" s="3">
        <v>1619.58</v>
      </c>
      <c r="E28" s="3">
        <v>1772</v>
      </c>
      <c r="F28" s="3">
        <v>18.34</v>
      </c>
      <c r="G28" s="3">
        <v>32050000</v>
      </c>
      <c r="H28" s="3">
        <v>34.6</v>
      </c>
      <c r="I28" s="3">
        <v>3415</v>
      </c>
      <c r="J28" s="3">
        <v>93168497</v>
      </c>
      <c r="K28" s="3">
        <v>0.1</v>
      </c>
      <c r="L28" s="3">
        <v>0.1</v>
      </c>
      <c r="M28" s="3"/>
    </row>
    <row r="29" spans="1:13" x14ac:dyDescent="0.35">
      <c r="A29" s="3" t="s">
        <v>49</v>
      </c>
      <c r="B29" s="3" t="s">
        <v>16</v>
      </c>
      <c r="C29" s="3">
        <v>85</v>
      </c>
      <c r="D29" s="3">
        <v>1275.58</v>
      </c>
      <c r="E29" s="3">
        <v>1562</v>
      </c>
      <c r="F29" s="3">
        <v>10.46</v>
      </c>
      <c r="G29" s="3">
        <v>34350000</v>
      </c>
      <c r="H29" s="3">
        <v>69.2</v>
      </c>
      <c r="I29" s="3">
        <v>52023</v>
      </c>
      <c r="J29" s="3">
        <v>5287479</v>
      </c>
      <c r="K29" s="3">
        <v>0.1</v>
      </c>
      <c r="L29" s="3">
        <v>0.1</v>
      </c>
      <c r="M29" s="3"/>
    </row>
    <row r="30" spans="1:13" x14ac:dyDescent="0.35">
      <c r="A30" s="3" t="s">
        <v>50</v>
      </c>
      <c r="B30" s="3" t="s">
        <v>17</v>
      </c>
      <c r="C30" s="3">
        <v>2</v>
      </c>
      <c r="D30" s="3">
        <v>1874.41</v>
      </c>
      <c r="E30" s="3">
        <v>2157</v>
      </c>
      <c r="F30" s="3">
        <v>13.07</v>
      </c>
      <c r="G30" s="3">
        <v>1220000000</v>
      </c>
      <c r="H30" s="3">
        <v>34.6</v>
      </c>
      <c r="I30" s="3">
        <v>41563</v>
      </c>
      <c r="J30" s="3">
        <v>47850793</v>
      </c>
      <c r="K30" s="3">
        <v>17.600000000000001</v>
      </c>
      <c r="L30" s="3">
        <v>16</v>
      </c>
      <c r="M30" s="3">
        <f t="shared" ref="M30" si="5">AVERAGE(C30:C33)</f>
        <v>36.5</v>
      </c>
    </row>
    <row r="31" spans="1:13" x14ac:dyDescent="0.35">
      <c r="A31" s="3" t="s">
        <v>51</v>
      </c>
      <c r="B31" s="3" t="s">
        <v>17</v>
      </c>
      <c r="C31" s="3">
        <v>67</v>
      </c>
      <c r="D31" s="3">
        <v>1371.11</v>
      </c>
      <c r="E31" s="3">
        <v>1578</v>
      </c>
      <c r="F31" s="3">
        <v>22.53</v>
      </c>
      <c r="G31" s="3">
        <v>54500000</v>
      </c>
      <c r="H31" s="3">
        <v>100</v>
      </c>
      <c r="I31" s="3">
        <v>6670</v>
      </c>
      <c r="J31" s="3">
        <v>529630</v>
      </c>
      <c r="K31" s="3">
        <v>0.1</v>
      </c>
      <c r="L31" s="3">
        <v>0.1</v>
      </c>
      <c r="M31" s="3"/>
    </row>
    <row r="32" spans="1:13" x14ac:dyDescent="0.35">
      <c r="A32" s="3" t="s">
        <v>52</v>
      </c>
      <c r="B32" s="3" t="s">
        <v>17</v>
      </c>
      <c r="C32" s="3">
        <v>61</v>
      </c>
      <c r="D32" s="3">
        <v>1423.88</v>
      </c>
      <c r="E32" s="3">
        <v>1576</v>
      </c>
      <c r="F32" s="3">
        <v>25.94</v>
      </c>
      <c r="G32" s="3">
        <v>40680000</v>
      </c>
      <c r="H32" s="3">
        <v>3.8</v>
      </c>
      <c r="I32" s="3">
        <v>37811</v>
      </c>
      <c r="J32" s="3">
        <v>35165787</v>
      </c>
      <c r="K32" s="3">
        <v>0.1</v>
      </c>
      <c r="L32" s="3">
        <v>0.1</v>
      </c>
      <c r="M32" s="3"/>
    </row>
    <row r="33" spans="1:13" x14ac:dyDescent="0.35">
      <c r="A33" s="3" t="s">
        <v>53</v>
      </c>
      <c r="B33" s="3" t="s">
        <v>17</v>
      </c>
      <c r="C33" s="3">
        <v>16</v>
      </c>
      <c r="D33" s="3">
        <v>1673.07</v>
      </c>
      <c r="E33" s="3">
        <v>1892</v>
      </c>
      <c r="F33" s="3">
        <v>17.97</v>
      </c>
      <c r="G33" s="3">
        <v>359300000</v>
      </c>
      <c r="H33" s="3">
        <v>100</v>
      </c>
      <c r="I33" s="3">
        <v>27608</v>
      </c>
      <c r="J33" s="3">
        <v>3382537</v>
      </c>
      <c r="K33" s="3">
        <v>1.1000000000000001</v>
      </c>
      <c r="L33" s="3">
        <v>1</v>
      </c>
      <c r="M33" s="3"/>
    </row>
    <row r="34" spans="1:13" x14ac:dyDescent="0.35">
      <c r="A34" s="3" t="s">
        <v>54</v>
      </c>
      <c r="B34" s="3" t="s">
        <v>18</v>
      </c>
      <c r="C34" s="3">
        <v>3</v>
      </c>
      <c r="D34" s="3">
        <v>1870.7</v>
      </c>
      <c r="E34" s="3">
        <v>2063</v>
      </c>
      <c r="F34" s="3">
        <v>11.65</v>
      </c>
      <c r="G34" s="3">
        <v>1520000000</v>
      </c>
      <c r="H34" s="3">
        <v>73.099999999999994</v>
      </c>
      <c r="I34" s="3">
        <v>52083</v>
      </c>
      <c r="J34" s="3">
        <v>66746401</v>
      </c>
      <c r="K34" s="3">
        <v>15.9</v>
      </c>
      <c r="L34" s="3">
        <v>16</v>
      </c>
      <c r="M34" s="3">
        <f t="shared" ref="M34" si="6">AVERAGE(C34:C37)</f>
        <v>26.5</v>
      </c>
    </row>
    <row r="35" spans="1:13" x14ac:dyDescent="0.35">
      <c r="A35" s="3" t="s">
        <v>55</v>
      </c>
      <c r="B35" s="3" t="s">
        <v>18</v>
      </c>
      <c r="C35" s="3">
        <v>15</v>
      </c>
      <c r="D35" s="3">
        <v>1684.07</v>
      </c>
      <c r="E35" s="3">
        <v>1860</v>
      </c>
      <c r="F35" s="3">
        <v>28.9</v>
      </c>
      <c r="G35" s="3">
        <v>478100000</v>
      </c>
      <c r="H35" s="3">
        <v>100</v>
      </c>
      <c r="I35" s="3">
        <v>2054</v>
      </c>
      <c r="J35" s="3">
        <v>19366548</v>
      </c>
      <c r="K35" s="3">
        <v>0.7</v>
      </c>
      <c r="L35" s="3">
        <v>1</v>
      </c>
      <c r="M35" s="3"/>
    </row>
    <row r="36" spans="1:13" x14ac:dyDescent="0.35">
      <c r="A36" s="3" t="s">
        <v>56</v>
      </c>
      <c r="B36" s="3" t="s">
        <v>18</v>
      </c>
      <c r="C36" s="3">
        <v>57</v>
      </c>
      <c r="D36" s="3">
        <v>1446.28</v>
      </c>
      <c r="E36" s="3">
        <v>1618</v>
      </c>
      <c r="F36" s="3">
        <v>22.95</v>
      </c>
      <c r="G36" s="3">
        <v>21200000</v>
      </c>
      <c r="H36" s="3">
        <v>61.5</v>
      </c>
      <c r="I36" s="3">
        <v>5677</v>
      </c>
      <c r="J36" s="3">
        <v>48007437</v>
      </c>
      <c r="K36" s="3">
        <v>0.1</v>
      </c>
      <c r="L36" s="3">
        <v>0.1</v>
      </c>
      <c r="M36" s="3"/>
    </row>
    <row r="37" spans="1:13" x14ac:dyDescent="0.35">
      <c r="A37" s="3" t="s">
        <v>57</v>
      </c>
      <c r="B37" s="3" t="s">
        <v>18</v>
      </c>
      <c r="C37" s="3">
        <v>31</v>
      </c>
      <c r="D37" s="3">
        <v>1557.44</v>
      </c>
      <c r="E37" s="3">
        <v>1914</v>
      </c>
      <c r="F37" s="3">
        <v>2.21</v>
      </c>
      <c r="G37" s="3">
        <v>589900000</v>
      </c>
      <c r="H37" s="3">
        <v>84.6</v>
      </c>
      <c r="I37" s="3">
        <v>105877</v>
      </c>
      <c r="J37" s="3">
        <v>5652989</v>
      </c>
      <c r="K37" s="3">
        <v>2.5</v>
      </c>
      <c r="L37" s="3">
        <v>2</v>
      </c>
      <c r="M37" s="3"/>
    </row>
    <row r="38" spans="1:13" x14ac:dyDescent="0.35">
      <c r="A38" s="3" t="s">
        <v>58</v>
      </c>
      <c r="B38" s="3" t="s">
        <v>19</v>
      </c>
      <c r="C38" s="3">
        <v>1</v>
      </c>
      <c r="D38" s="3">
        <v>1877.27</v>
      </c>
      <c r="E38" s="3">
        <v>2114</v>
      </c>
      <c r="F38" s="3">
        <v>16.3</v>
      </c>
      <c r="G38" s="3">
        <v>782500000</v>
      </c>
      <c r="H38" s="3">
        <v>92</v>
      </c>
      <c r="I38" s="3">
        <v>14357</v>
      </c>
      <c r="J38" s="3">
        <v>46003734</v>
      </c>
      <c r="K38" s="3">
        <v>9</v>
      </c>
      <c r="L38" s="3">
        <v>9</v>
      </c>
      <c r="M38" s="3">
        <f t="shared" ref="M38" si="7">AVERAGE(C38:C41)</f>
        <v>29</v>
      </c>
    </row>
    <row r="39" spans="1:13" x14ac:dyDescent="0.35">
      <c r="A39" s="3" t="s">
        <v>59</v>
      </c>
      <c r="B39" s="3" t="s">
        <v>19</v>
      </c>
      <c r="C39" s="3">
        <v>28</v>
      </c>
      <c r="D39" s="3">
        <v>1571.03</v>
      </c>
      <c r="E39" s="3">
        <v>1760</v>
      </c>
      <c r="F39" s="3">
        <v>23.6</v>
      </c>
      <c r="G39" s="3">
        <v>256900000</v>
      </c>
      <c r="H39" s="3">
        <v>88.5</v>
      </c>
      <c r="I39" s="3">
        <v>6628</v>
      </c>
      <c r="J39" s="3">
        <v>48028334</v>
      </c>
      <c r="K39" s="3">
        <v>0.2</v>
      </c>
      <c r="L39" s="3">
        <v>0.1</v>
      </c>
      <c r="M39" s="3"/>
    </row>
    <row r="40" spans="1:13" x14ac:dyDescent="0.35">
      <c r="A40" s="3" t="s">
        <v>60</v>
      </c>
      <c r="B40" s="3" t="s">
        <v>19</v>
      </c>
      <c r="C40" s="3">
        <v>24</v>
      </c>
      <c r="D40" s="3">
        <v>1597.4</v>
      </c>
      <c r="E40" s="3">
        <v>1830</v>
      </c>
      <c r="F40" s="3">
        <v>7.44</v>
      </c>
      <c r="G40" s="3">
        <v>242200000</v>
      </c>
      <c r="H40" s="3">
        <v>88</v>
      </c>
      <c r="I40" s="3">
        <v>67761</v>
      </c>
      <c r="J40" s="3">
        <v>9107266</v>
      </c>
      <c r="K40" s="3">
        <v>0.4</v>
      </c>
      <c r="L40" s="3">
        <v>0.1</v>
      </c>
      <c r="M40" s="3"/>
    </row>
    <row r="41" spans="1:13" x14ac:dyDescent="0.35">
      <c r="A41" s="3" t="s">
        <v>61</v>
      </c>
      <c r="B41" s="3" t="s">
        <v>19</v>
      </c>
      <c r="C41" s="3">
        <v>63</v>
      </c>
      <c r="D41" s="3">
        <v>1387.74</v>
      </c>
      <c r="E41" s="3">
        <v>1680</v>
      </c>
      <c r="F41" s="3">
        <v>20.05</v>
      </c>
      <c r="G41" s="3">
        <v>20300000</v>
      </c>
      <c r="H41" s="3">
        <v>53.8</v>
      </c>
      <c r="I41" s="3">
        <v>5601</v>
      </c>
      <c r="J41" s="3">
        <v>11589532</v>
      </c>
      <c r="K41" s="3">
        <v>0.1</v>
      </c>
      <c r="L41" s="3">
        <v>0.1</v>
      </c>
      <c r="M41" s="3"/>
    </row>
    <row r="42" spans="1:13" x14ac:dyDescent="0.35">
      <c r="A42" s="3" t="s">
        <v>62</v>
      </c>
      <c r="B42" s="3" t="s">
        <v>20</v>
      </c>
      <c r="C42" s="3">
        <v>15</v>
      </c>
      <c r="D42" s="3">
        <v>1766.18</v>
      </c>
      <c r="E42" s="3">
        <v>1986</v>
      </c>
      <c r="F42" s="3">
        <v>15.85</v>
      </c>
      <c r="G42" s="3">
        <v>1010000000</v>
      </c>
      <c r="H42" s="3">
        <v>80.8</v>
      </c>
      <c r="I42" s="3">
        <v>35434</v>
      </c>
      <c r="J42" s="3">
        <v>10395362</v>
      </c>
      <c r="K42" s="3">
        <v>11.3</v>
      </c>
      <c r="L42" s="3">
        <v>11</v>
      </c>
      <c r="M42" s="3">
        <f t="shared" ref="M42" si="8">AVERAGE(C42:C45)</f>
        <v>31</v>
      </c>
    </row>
    <row r="43" spans="1:13" x14ac:dyDescent="0.35">
      <c r="A43" s="3" t="s">
        <v>63</v>
      </c>
      <c r="B43" s="3" t="s">
        <v>20</v>
      </c>
      <c r="C43" s="3">
        <v>46</v>
      </c>
      <c r="D43" s="3">
        <v>1474.43</v>
      </c>
      <c r="E43" s="3">
        <v>1652</v>
      </c>
      <c r="F43" s="3">
        <v>24.35</v>
      </c>
      <c r="G43" s="3">
        <v>143900000</v>
      </c>
      <c r="H43" s="3">
        <v>100</v>
      </c>
      <c r="I43" s="3">
        <v>1122</v>
      </c>
      <c r="J43" s="3">
        <v>116452162</v>
      </c>
      <c r="K43" s="3">
        <v>0.1</v>
      </c>
      <c r="L43" s="3">
        <v>0.1</v>
      </c>
      <c r="M43" s="3"/>
    </row>
    <row r="44" spans="1:13" x14ac:dyDescent="0.35">
      <c r="A44" s="3" t="s">
        <v>64</v>
      </c>
      <c r="B44" s="3" t="s">
        <v>20</v>
      </c>
      <c r="C44" s="3">
        <v>50</v>
      </c>
      <c r="D44" s="3">
        <v>1458.73</v>
      </c>
      <c r="E44" s="3">
        <v>1714</v>
      </c>
      <c r="F44" s="3">
        <v>13.06</v>
      </c>
      <c r="G44" s="3">
        <v>85330000</v>
      </c>
      <c r="H44" s="3">
        <v>42.3</v>
      </c>
      <c r="I44" s="3">
        <v>4661</v>
      </c>
      <c r="J44" s="3">
        <v>37724223</v>
      </c>
      <c r="K44" s="3">
        <v>0.1</v>
      </c>
      <c r="L44" s="3">
        <v>0.1</v>
      </c>
      <c r="M44" s="3"/>
    </row>
    <row r="45" spans="1:13" x14ac:dyDescent="0.35">
      <c r="A45" s="3" t="s">
        <v>65</v>
      </c>
      <c r="B45" s="3" t="s">
        <v>20</v>
      </c>
      <c r="C45" s="3">
        <v>13</v>
      </c>
      <c r="D45" s="3">
        <v>1698.35</v>
      </c>
      <c r="E45" s="3">
        <v>1982</v>
      </c>
      <c r="F45" s="3">
        <v>25</v>
      </c>
      <c r="G45" s="3">
        <v>302350000</v>
      </c>
      <c r="H45" s="3">
        <v>96.2</v>
      </c>
      <c r="I45" s="3">
        <v>10104</v>
      </c>
      <c r="J45" s="3">
        <v>53936226</v>
      </c>
      <c r="K45" s="3">
        <v>2</v>
      </c>
      <c r="L45" s="3">
        <v>2</v>
      </c>
      <c r="M45" s="3"/>
    </row>
    <row r="46" spans="1:13" x14ac:dyDescent="0.35">
      <c r="A46" s="3" t="s">
        <v>66</v>
      </c>
      <c r="B46" s="3" t="s">
        <v>21</v>
      </c>
      <c r="C46" s="3">
        <v>4</v>
      </c>
      <c r="D46" s="3">
        <v>1827.05</v>
      </c>
      <c r="E46" s="3">
        <v>2021</v>
      </c>
      <c r="F46" s="3">
        <v>9.24</v>
      </c>
      <c r="G46" s="3">
        <v>1360000000</v>
      </c>
      <c r="H46" s="3">
        <v>19.2</v>
      </c>
      <c r="I46" s="3">
        <v>61056</v>
      </c>
      <c r="J46" s="3">
        <v>58620100</v>
      </c>
      <c r="K46" s="3">
        <v>10.8</v>
      </c>
      <c r="L46" s="3">
        <v>11</v>
      </c>
      <c r="M46" s="3">
        <f t="shared" ref="M46" si="9">AVERAGE(C46:C49)</f>
        <v>30.5</v>
      </c>
    </row>
    <row r="47" spans="1:13" x14ac:dyDescent="0.35">
      <c r="A47" s="3" t="s">
        <v>67</v>
      </c>
      <c r="B47" s="3" t="s">
        <v>21</v>
      </c>
      <c r="C47" s="3">
        <v>11</v>
      </c>
      <c r="D47" s="3">
        <v>1714.87</v>
      </c>
      <c r="E47" s="3">
        <v>1912</v>
      </c>
      <c r="F47" s="3">
        <v>11.96</v>
      </c>
      <c r="G47" s="3">
        <v>387300000</v>
      </c>
      <c r="H47" s="3">
        <v>92.3</v>
      </c>
      <c r="I47" s="3">
        <v>30030</v>
      </c>
      <c r="J47" s="3">
        <v>3822345</v>
      </c>
      <c r="K47" s="3">
        <v>0.8</v>
      </c>
      <c r="L47" s="3">
        <v>1</v>
      </c>
      <c r="M47" s="3"/>
    </row>
    <row r="48" spans="1:13" x14ac:dyDescent="0.35">
      <c r="A48" s="3" t="s">
        <v>68</v>
      </c>
      <c r="B48" s="3" t="s">
        <v>21</v>
      </c>
      <c r="C48" s="3">
        <v>73</v>
      </c>
      <c r="D48" s="3">
        <v>1346.88</v>
      </c>
      <c r="E48" s="3">
        <v>1510</v>
      </c>
      <c r="F48" s="3">
        <v>27.66</v>
      </c>
      <c r="G48" s="3">
        <v>234600000</v>
      </c>
      <c r="H48" s="3">
        <v>96.3</v>
      </c>
      <c r="I48" s="3">
        <v>3314</v>
      </c>
      <c r="J48" s="3">
        <v>35697557</v>
      </c>
      <c r="K48" s="3">
        <v>0.2</v>
      </c>
      <c r="L48" s="3">
        <v>0.1</v>
      </c>
      <c r="M48" s="3"/>
    </row>
    <row r="49" spans="1:13" x14ac:dyDescent="0.35">
      <c r="A49" s="3" t="s">
        <v>69</v>
      </c>
      <c r="B49" s="3" t="s">
        <v>21</v>
      </c>
      <c r="C49" s="3">
        <v>34</v>
      </c>
      <c r="D49" s="3">
        <v>1539.16</v>
      </c>
      <c r="E49" s="3">
        <v>1730</v>
      </c>
      <c r="F49" s="3">
        <v>25.6</v>
      </c>
      <c r="G49" s="3">
        <v>34550000</v>
      </c>
      <c r="H49" s="3">
        <v>92.3</v>
      </c>
      <c r="I49" s="3">
        <v>20564</v>
      </c>
      <c r="J49" s="3">
        <v>4625718</v>
      </c>
      <c r="K49" s="3">
        <v>0.1</v>
      </c>
      <c r="L49" s="3">
        <v>0.1</v>
      </c>
      <c r="M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2026-06-10T17:30:53Z</dcterms:created>
  <dcterms:modified xsi:type="dcterms:W3CDTF">2026-06-20T08:35:39Z</dcterms:modified>
</cp:coreProperties>
</file>